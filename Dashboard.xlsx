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2\Desktop\Masoud Projects\DA\2026\6\"/>
    </mc:Choice>
  </mc:AlternateContent>
  <xr:revisionPtr revIDLastSave="0" documentId="13_ncr:1_{C9FD4FD1-DC7D-43ED-939D-66FE1DCD7A79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Dashboard" sheetId="1" r:id="rId1"/>
    <sheet name="Student Data" sheetId="2" r:id="rId2"/>
    <sheet name="READ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51" i="2" l="1"/>
  <c r="I51" i="2"/>
  <c r="F51" i="2"/>
  <c r="H51" i="2" s="1"/>
  <c r="J51" i="2" s="1"/>
  <c r="R50" i="2"/>
  <c r="I50" i="2"/>
  <c r="F50" i="2"/>
  <c r="H50" i="2" s="1"/>
  <c r="J50" i="2" s="1"/>
  <c r="R49" i="2"/>
  <c r="I49" i="2"/>
  <c r="F49" i="2"/>
  <c r="H49" i="2" s="1"/>
  <c r="J49" i="2" s="1"/>
  <c r="R48" i="2"/>
  <c r="I48" i="2"/>
  <c r="F48" i="2"/>
  <c r="H48" i="2" s="1"/>
  <c r="J48" i="2" s="1"/>
  <c r="R47" i="2"/>
  <c r="I47" i="2"/>
  <c r="F47" i="2"/>
  <c r="H47" i="2" s="1"/>
  <c r="J47" i="2" s="1"/>
  <c r="R46" i="2"/>
  <c r="I46" i="2"/>
  <c r="F46" i="2"/>
  <c r="H46" i="2" s="1"/>
  <c r="J46" i="2" s="1"/>
  <c r="R45" i="2"/>
  <c r="I45" i="2"/>
  <c r="F45" i="2"/>
  <c r="H45" i="2" s="1"/>
  <c r="J45" i="2" s="1"/>
  <c r="R44" i="2"/>
  <c r="I44" i="2"/>
  <c r="F44" i="2"/>
  <c r="H44" i="2" s="1"/>
  <c r="J44" i="2" s="1"/>
  <c r="R43" i="2"/>
  <c r="I43" i="2"/>
  <c r="F43" i="2"/>
  <c r="H43" i="2" s="1"/>
  <c r="J43" i="2" s="1"/>
  <c r="R42" i="2"/>
  <c r="I42" i="2"/>
  <c r="F42" i="2"/>
  <c r="H42" i="2" s="1"/>
  <c r="J42" i="2" s="1"/>
  <c r="R41" i="2"/>
  <c r="I41" i="2"/>
  <c r="F41" i="2"/>
  <c r="H41" i="2" s="1"/>
  <c r="J41" i="2" s="1"/>
  <c r="R40" i="2"/>
  <c r="I40" i="2"/>
  <c r="F40" i="2"/>
  <c r="H40" i="2" s="1"/>
  <c r="J40" i="2" s="1"/>
  <c r="R39" i="2"/>
  <c r="I39" i="2"/>
  <c r="F39" i="2"/>
  <c r="H39" i="2" s="1"/>
  <c r="J39" i="2" s="1"/>
  <c r="R38" i="2"/>
  <c r="I38" i="2"/>
  <c r="F38" i="2"/>
  <c r="H38" i="2" s="1"/>
  <c r="J38" i="2" s="1"/>
  <c r="R37" i="2"/>
  <c r="I37" i="2"/>
  <c r="F37" i="2"/>
  <c r="H37" i="2" s="1"/>
  <c r="J37" i="2" s="1"/>
  <c r="R36" i="2"/>
  <c r="I36" i="2"/>
  <c r="F36" i="2"/>
  <c r="H36" i="2" s="1"/>
  <c r="J36" i="2" s="1"/>
  <c r="R35" i="2"/>
  <c r="I35" i="2"/>
  <c r="F35" i="2"/>
  <c r="H35" i="2" s="1"/>
  <c r="J35" i="2" s="1"/>
  <c r="R34" i="2"/>
  <c r="I34" i="2"/>
  <c r="F34" i="2"/>
  <c r="H34" i="2" s="1"/>
  <c r="J34" i="2" s="1"/>
  <c r="R33" i="2"/>
  <c r="I33" i="2"/>
  <c r="F33" i="2"/>
  <c r="H33" i="2" s="1"/>
  <c r="J33" i="2" s="1"/>
  <c r="R32" i="2"/>
  <c r="I32" i="2"/>
  <c r="F32" i="2"/>
  <c r="H32" i="2" s="1"/>
  <c r="J32" i="2" s="1"/>
  <c r="R31" i="2"/>
  <c r="I31" i="2"/>
  <c r="F31" i="2"/>
  <c r="H31" i="2" s="1"/>
  <c r="J31" i="2" s="1"/>
  <c r="R30" i="2"/>
  <c r="I30" i="2"/>
  <c r="F30" i="2"/>
  <c r="H30" i="2" s="1"/>
  <c r="J30" i="2" s="1"/>
  <c r="R29" i="2"/>
  <c r="I29" i="2"/>
  <c r="F29" i="2"/>
  <c r="H29" i="2" s="1"/>
  <c r="J29" i="2" s="1"/>
  <c r="R28" i="2"/>
  <c r="I28" i="2"/>
  <c r="F28" i="2"/>
  <c r="H28" i="2" s="1"/>
  <c r="J28" i="2" s="1"/>
  <c r="R27" i="2"/>
  <c r="I27" i="2"/>
  <c r="F27" i="2"/>
  <c r="H27" i="2" s="1"/>
  <c r="J27" i="2" s="1"/>
  <c r="R26" i="2"/>
  <c r="I26" i="2"/>
  <c r="F26" i="2"/>
  <c r="H26" i="2" s="1"/>
  <c r="J26" i="2" s="1"/>
  <c r="R25" i="2"/>
  <c r="I25" i="2"/>
  <c r="F25" i="2"/>
  <c r="H25" i="2" s="1"/>
  <c r="J25" i="2" s="1"/>
  <c r="R24" i="2"/>
  <c r="I24" i="2"/>
  <c r="F24" i="2"/>
  <c r="H24" i="2" s="1"/>
  <c r="J24" i="2" s="1"/>
  <c r="R23" i="2"/>
  <c r="I23" i="2"/>
  <c r="H23" i="2"/>
  <c r="J23" i="2" s="1"/>
  <c r="F23" i="2"/>
  <c r="R22" i="2"/>
  <c r="I22" i="2"/>
  <c r="F22" i="2"/>
  <c r="H22" i="2" s="1"/>
  <c r="J22" i="2" s="1"/>
  <c r="R21" i="2"/>
  <c r="I21" i="2"/>
  <c r="F21" i="2"/>
  <c r="H21" i="2" s="1"/>
  <c r="J21" i="2" s="1"/>
  <c r="R20" i="2"/>
  <c r="I20" i="2"/>
  <c r="F20" i="2"/>
  <c r="H20" i="2" s="1"/>
  <c r="J20" i="2" s="1"/>
  <c r="R19" i="2"/>
  <c r="I19" i="2"/>
  <c r="F19" i="2"/>
  <c r="H19" i="2" s="1"/>
  <c r="J19" i="2" s="1"/>
  <c r="R18" i="2"/>
  <c r="I18" i="2"/>
  <c r="F18" i="2"/>
  <c r="H18" i="2" s="1"/>
  <c r="J18" i="2" s="1"/>
  <c r="R17" i="2"/>
  <c r="I17" i="2"/>
  <c r="F17" i="2"/>
  <c r="H17" i="2" s="1"/>
  <c r="J17" i="2" s="1"/>
  <c r="R16" i="2"/>
  <c r="I16" i="2"/>
  <c r="F16" i="2"/>
  <c r="H16" i="2" s="1"/>
  <c r="J16" i="2" s="1"/>
  <c r="R15" i="2"/>
  <c r="I15" i="2"/>
  <c r="F15" i="2"/>
  <c r="H15" i="2" s="1"/>
  <c r="J15" i="2" s="1"/>
  <c r="R14" i="2"/>
  <c r="I14" i="2"/>
  <c r="F14" i="2"/>
  <c r="H14" i="2" s="1"/>
  <c r="J14" i="2" s="1"/>
  <c r="R13" i="2"/>
  <c r="I13" i="2"/>
  <c r="F13" i="2"/>
  <c r="H13" i="2" s="1"/>
  <c r="J13" i="2" s="1"/>
  <c r="R12" i="2"/>
  <c r="I12" i="2"/>
  <c r="F12" i="2"/>
  <c r="H12" i="2" s="1"/>
  <c r="J12" i="2" s="1"/>
  <c r="R11" i="2"/>
  <c r="I11" i="2"/>
  <c r="F11" i="2"/>
  <c r="H11" i="2" s="1"/>
  <c r="J11" i="2" s="1"/>
  <c r="R10" i="2"/>
  <c r="I10" i="2"/>
  <c r="F10" i="2"/>
  <c r="H10" i="2" s="1"/>
  <c r="J10" i="2" s="1"/>
  <c r="R9" i="2"/>
  <c r="I9" i="2"/>
  <c r="F9" i="2"/>
  <c r="H9" i="2" s="1"/>
  <c r="J9" i="2" s="1"/>
  <c r="R8" i="2"/>
  <c r="I8" i="2"/>
  <c r="F8" i="2"/>
  <c r="H8" i="2" s="1"/>
  <c r="J8" i="2" s="1"/>
  <c r="R7" i="2"/>
  <c r="I7" i="2"/>
  <c r="F7" i="2"/>
  <c r="H7" i="2" s="1"/>
  <c r="J7" i="2" s="1"/>
  <c r="R6" i="2"/>
  <c r="I6" i="2"/>
  <c r="F6" i="2"/>
  <c r="H6" i="2" s="1"/>
  <c r="J6" i="2" s="1"/>
  <c r="R5" i="2"/>
  <c r="I5" i="2"/>
  <c r="F5" i="2"/>
  <c r="H5" i="2" s="1"/>
  <c r="J5" i="2" s="1"/>
  <c r="R4" i="2"/>
  <c r="I4" i="2"/>
  <c r="F4" i="2"/>
  <c r="H4" i="2" s="1"/>
  <c r="J4" i="2" s="1"/>
  <c r="R3" i="2"/>
  <c r="I3" i="2"/>
  <c r="F3" i="2"/>
  <c r="H3" i="2" s="1"/>
  <c r="J3" i="2" s="1"/>
  <c r="R2" i="2"/>
  <c r="I2" i="2"/>
  <c r="F2" i="2"/>
  <c r="H2" i="2" s="1"/>
  <c r="C28" i="1"/>
  <c r="C27" i="1"/>
  <c r="B27" i="1"/>
  <c r="C26" i="1"/>
  <c r="B26" i="1"/>
  <c r="C25" i="1"/>
  <c r="B25" i="1"/>
  <c r="C24" i="1"/>
  <c r="B24" i="1"/>
  <c r="C23" i="1"/>
  <c r="C22" i="1"/>
  <c r="C21" i="1"/>
  <c r="N3" i="1"/>
  <c r="A6" i="1" s="1"/>
  <c r="B28" i="1" l="1"/>
  <c r="B21" i="1"/>
  <c r="B23" i="1"/>
  <c r="B22" i="1"/>
  <c r="B53" i="1"/>
  <c r="H55" i="1"/>
  <c r="J2" i="2"/>
  <c r="B51" i="1" s="1"/>
  <c r="B52" i="1"/>
  <c r="E55" i="1"/>
  <c r="B55" i="1" l="1"/>
  <c r="N7" i="1"/>
  <c r="N6" i="1"/>
  <c r="N5" i="1"/>
  <c r="N9" i="1" l="1"/>
  <c r="H6" i="1" s="1"/>
  <c r="B16" i="1"/>
  <c r="F6" i="1"/>
  <c r="D33" i="1"/>
  <c r="C33" i="1"/>
  <c r="B15" i="1"/>
  <c r="B33" i="1"/>
  <c r="N8" i="1"/>
  <c r="C6" i="1" s="1"/>
  <c r="B14" i="1"/>
</calcChain>
</file>

<file path=xl/sharedStrings.xml><?xml version="1.0" encoding="utf-8"?>
<sst xmlns="http://schemas.openxmlformats.org/spreadsheetml/2006/main" count="172" uniqueCount="161">
  <si>
    <t>Calc Engine</t>
  </si>
  <si>
    <t>Total Students</t>
  </si>
  <si>
    <t>AT-RISK (Red+Yellow)</t>
  </si>
  <si>
    <t>GREEN - Satisfactory</t>
  </si>
  <si>
    <t>% Satisfactory</t>
  </si>
  <si>
    <t>students</t>
  </si>
  <si>
    <t>of roster</t>
  </si>
  <si>
    <t>Risk Category Breakdown</t>
  </si>
  <si>
    <t>Category</t>
  </si>
  <si>
    <t>Students</t>
  </si>
  <si>
    <t>RED - Dual Risk</t>
  </si>
  <si>
    <t>YELLOW - Single Risk</t>
  </si>
  <si>
    <t>Attendance Watch List — 8 Lowest</t>
  </si>
  <si>
    <t>Rank</t>
  </si>
  <si>
    <t>Student</t>
  </si>
  <si>
    <t>Attendance %</t>
  </si>
  <si>
    <t>Week</t>
  </si>
  <si>
    <t>Red</t>
  </si>
  <si>
    <t>Yellow</t>
  </si>
  <si>
    <t>Green</t>
  </si>
  <si>
    <t>Week 1 (current)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</si>
  <si>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</si>
  <si>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</si>
  <si>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</si>
  <si>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</si>
  <si>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</si>
  <si>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</si>
  <si>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</si>
  <si>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</si>
  <si>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</si>
  <si>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Interactive Filter Panel (pick from the dropdowns — KPIs below update instantly)</t>
  </si>
  <si>
    <t>Filter: Academic Status</t>
  </si>
  <si>
    <t>All</t>
  </si>
  <si>
    <t>Filter: Attendance Status</t>
  </si>
  <si>
    <t>Filtered Risk Breakdown</t>
  </si>
  <si>
    <t>Filtered Student Count:</t>
  </si>
  <si>
    <t>Filtered Avg Score:</t>
  </si>
  <si>
    <t>Filtered Avg Attendance:</t>
  </si>
  <si>
    <t>Student ID</t>
  </si>
  <si>
    <t>Name</t>
  </si>
  <si>
    <t>Test 1</t>
  </si>
  <si>
    <t>Test 2</t>
  </si>
  <si>
    <t>Test 3</t>
  </si>
  <si>
    <t>Average</t>
  </si>
  <si>
    <t>Academic Status</t>
  </si>
  <si>
    <t>Attendance Status</t>
  </si>
  <si>
    <t>Risk Category</t>
  </si>
  <si>
    <t>RankKey</t>
  </si>
  <si>
    <t>TR2-1001</t>
  </si>
  <si>
    <t>Owen Marsh</t>
  </si>
  <si>
    <t>TR2-1002</t>
  </si>
  <si>
    <t>Ines Idrissi</t>
  </si>
  <si>
    <t>TR2-1003</t>
  </si>
  <si>
    <t>Malik Chaudhary</t>
  </si>
  <si>
    <t>TR2-1004</t>
  </si>
  <si>
    <t>Ruby Winslow</t>
  </si>
  <si>
    <t>TR2-1005</t>
  </si>
  <si>
    <t>Diego Barreto</t>
  </si>
  <si>
    <t>TR2-1006</t>
  </si>
  <si>
    <t>Nadia Kowalski</t>
  </si>
  <si>
    <t>TR2-1007</t>
  </si>
  <si>
    <t>Caleb Njoroge</t>
  </si>
  <si>
    <t>TR2-1008</t>
  </si>
  <si>
    <t>Yasmin Vasquez</t>
  </si>
  <si>
    <t>TR2-1009</t>
  </si>
  <si>
    <t>Trevor Hartley</t>
  </si>
  <si>
    <t>TR2-1010</t>
  </si>
  <si>
    <t>Aaliyah Suarez</t>
  </si>
  <si>
    <t>TR2-1011</t>
  </si>
  <si>
    <t>Felix Ferreira</t>
  </si>
  <si>
    <t>TR2-1012</t>
  </si>
  <si>
    <t>Layla Adeyemi</t>
  </si>
  <si>
    <t>TR2-1013</t>
  </si>
  <si>
    <t>Gavin Blackwood</t>
  </si>
  <si>
    <t>TR2-1014</t>
  </si>
  <si>
    <t>Simone Rojas</t>
  </si>
  <si>
    <t>TR2-1015</t>
  </si>
  <si>
    <t>Wyatt Sinclair</t>
  </si>
  <si>
    <t>TR2-1016</t>
  </si>
  <si>
    <t>Nora Achebe</t>
  </si>
  <si>
    <t>TR2-1017</t>
  </si>
  <si>
    <t>Jaden Montoya</t>
  </si>
  <si>
    <t>TR2-1018</t>
  </si>
  <si>
    <t>Esme Larsson</t>
  </si>
  <si>
    <t>TR2-1019</t>
  </si>
  <si>
    <t>Cody Ekwueme</t>
  </si>
  <si>
    <t>TR2-1020</t>
  </si>
  <si>
    <t>Amara Villanueva</t>
  </si>
  <si>
    <t>TR2-1021</t>
  </si>
  <si>
    <t>Ronan Whitaker</t>
  </si>
  <si>
    <t>TR2-1022</t>
  </si>
  <si>
    <t>Leilani Kamau</t>
  </si>
  <si>
    <t>TR2-1023</t>
  </si>
  <si>
    <t>Miles Reyes</t>
  </si>
  <si>
    <t>TR2-1024</t>
  </si>
  <si>
    <t>Sadie Sundberg</t>
  </si>
  <si>
    <t>TR2-1025</t>
  </si>
  <si>
    <t>Quentin Okonkwo</t>
  </si>
  <si>
    <t>TR2-1026</t>
  </si>
  <si>
    <t>Julia Ashworth</t>
  </si>
  <si>
    <t>TR2-1027</t>
  </si>
  <si>
    <t>Marcus Dumont</t>
  </si>
  <si>
    <t>TR2-1028</t>
  </si>
  <si>
    <t>Sofia Kowalczyk</t>
  </si>
  <si>
    <t>TR2-1029</t>
  </si>
  <si>
    <t>Ibrahim Nwosu</t>
  </si>
  <si>
    <t>TR2-1030</t>
  </si>
  <si>
    <t>Chloe Beaumont</t>
  </si>
  <si>
    <t>TR2-1031</t>
  </si>
  <si>
    <t>Deshawn Larkspur</t>
  </si>
  <si>
    <t>TR2-1032</t>
  </si>
  <si>
    <t>Mei Yamada</t>
  </si>
  <si>
    <t>TR2-1033</t>
  </si>
  <si>
    <t>Anthony Oyelaran</t>
  </si>
  <si>
    <t>TR2-1034</t>
  </si>
  <si>
    <t>Valeria Fitzgerald</t>
  </si>
  <si>
    <t>TR2-1035</t>
  </si>
  <si>
    <t>Kenji Callahan</t>
  </si>
  <si>
    <t>TR2-1036</t>
  </si>
  <si>
    <t>Brianna Dobrescu</t>
  </si>
  <si>
    <t>TR2-1037</t>
  </si>
  <si>
    <t>Omar Anand</t>
  </si>
  <si>
    <t>TR2-1038</t>
  </si>
  <si>
    <t>Isla Mbeki</t>
  </si>
  <si>
    <t>TR2-1039</t>
  </si>
  <si>
    <t>Xavier Solheim</t>
  </si>
  <si>
    <t>TR2-1040</t>
  </si>
  <si>
    <t>Natasha Rasmussen</t>
  </si>
  <si>
    <t>TR2-1041</t>
  </si>
  <si>
    <t>Cole Nakashima</t>
  </si>
  <si>
    <t>TR2-1042</t>
  </si>
  <si>
    <t>Priyanka Everhart</t>
  </si>
  <si>
    <t>TR2-1043</t>
  </si>
  <si>
    <t>Jamal Okwuosa</t>
  </si>
  <si>
    <t>TR2-1044</t>
  </si>
  <si>
    <t>Hannah Delacroix</t>
  </si>
  <si>
    <t>TR2-1045</t>
  </si>
  <si>
    <t>Theo Halvorsen</t>
  </si>
  <si>
    <t>TR2-1046</t>
  </si>
  <si>
    <t>Selena Onyema</t>
  </si>
  <si>
    <t>TR2-1047</t>
  </si>
  <si>
    <t>Dominic Whitcombe</t>
  </si>
  <si>
    <t>TR2-1048</t>
  </si>
  <si>
    <t>Amina Falkner</t>
  </si>
  <si>
    <t>TR2-1049</t>
  </si>
  <si>
    <t>Bryce Iheanacho</t>
  </si>
  <si>
    <t>TR2-1050</t>
  </si>
  <si>
    <t>Kayla Brennan</t>
  </si>
  <si>
    <t>Rows: 50 fictional students, randomly generated.</t>
  </si>
  <si>
    <t>SPSS Educator Dashboard — Hillcrest Middle School (50 students)</t>
  </si>
  <si>
    <t>Design : At-Risk Focus + Attendance Watch List</t>
  </si>
  <si>
    <t>Weekly Risk Trend — Week 1 is live;</t>
  </si>
  <si>
    <t>Excel + Orange SPSS workflow.</t>
  </si>
  <si>
    <t>Thresholds (same rule definitions as the assignment):</t>
  </si>
  <si>
    <t>- Academic Threshold: Average of Test 1-3 &lt; 60% =&gt; FAIL</t>
  </si>
  <si>
    <t>- Attendance Threshold: Attendance % &lt; 75% =&gt; FAIL</t>
  </si>
  <si>
    <t>Columns F (Average), H (Academic Status), I (Attendance Status), and J (Risk Category)</t>
  </si>
  <si>
    <t>are LIVE FORMULAS - replacing columns C:E and G with real data recalculates everything.</t>
  </si>
  <si>
    <t>IMPORTANT - Orange setup: when you load this into Orange, set Academic Status and</t>
  </si>
  <si>
    <t>Attendance Status to META (not Feature) in the File widget. Leaving them as Features</t>
  </si>
  <si>
    <t>causes the Decision Tree to see the answer directly and score a meaningless 1.000.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</si>
</sst>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\%"/>
    <numFmt numFmtId="166" formatCode="0.0"/>
  </numFmts>
  <fonts count="31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A6A6A6"/>
      <name val="Cambria"/>
      <charset val="1"/>
    </font>
    <font>
      <i/>
      <sz val="10"/>
      <color rgb="FF595959"/>
      <name val="Arial"/>
      <charset val="1"/>
    </font>
    <font>
      <b/>
      <sz val="17"/>
      <color rgb="FFFFFFFF"/>
      <name val="Arial"/>
      <charset val="1"/>
    </font>
    <font>
      <sz val="9"/>
      <color rgb="FFA6A6A6"/>
      <name val="Cambria"/>
      <charset val="1"/>
    </font>
    <font>
      <b/>
      <sz val="10"/>
      <color rgb="FFFFFFFF"/>
      <name val="Arial"/>
      <charset val="1"/>
    </font>
    <font>
      <b/>
      <sz val="24"/>
      <color rgb="FF1F3864"/>
      <name val="Arial"/>
      <charset val="1"/>
    </font>
    <font>
      <b/>
      <sz val="24"/>
      <color rgb="FFB45F06"/>
      <name val="Arial"/>
      <charset val="1"/>
    </font>
    <font>
      <b/>
      <sz val="24"/>
      <color rgb="FF38761D"/>
      <name val="Arial"/>
      <charset val="1"/>
    </font>
    <font>
      <b/>
      <sz val="24"/>
      <color rgb="FF0E7C7B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Cambria"/>
      <charset val="1"/>
    </font>
    <font>
      <b/>
      <sz val="10"/>
      <color rgb="FFC00000"/>
      <name val="Cambria"/>
      <charset val="1"/>
    </font>
    <font>
      <b/>
      <sz val="10"/>
      <color rgb="FFBF8F00"/>
      <name val="Cambria"/>
      <charset val="1"/>
    </font>
    <font>
      <b/>
      <sz val="10"/>
      <color rgb="FF548235"/>
      <name val="Cambria"/>
      <charset val="1"/>
    </font>
    <font>
      <b/>
      <sz val="11"/>
      <color rgb="FF5B2A86"/>
      <name val="Arial"/>
      <charset val="1"/>
    </font>
    <font>
      <i/>
      <sz val="10"/>
      <name val="Arial"/>
      <charset val="1"/>
    </font>
    <font>
      <b/>
      <sz val="10"/>
      <color rgb="FFC00000"/>
      <name val="Arial"/>
      <charset val="1"/>
    </font>
    <font>
      <b/>
      <sz val="10"/>
      <color rgb="FFBF8F00"/>
      <name val="Arial"/>
      <charset val="1"/>
    </font>
    <font>
      <b/>
      <sz val="10"/>
      <color rgb="FF548235"/>
      <name val="Arial"/>
      <charset val="1"/>
    </font>
    <font>
      <i/>
      <sz val="10"/>
      <color rgb="FFA6A6A6"/>
      <name val="Arial"/>
      <charset val="1"/>
    </font>
    <font>
      <b/>
      <sz val="10"/>
      <color rgb="FF595959"/>
      <name val="Arial"/>
      <charset val="1"/>
    </font>
    <font>
      <b/>
      <sz val="10"/>
      <color rgb="FF595959"/>
      <name val="Cambria"/>
      <charset val="1"/>
    </font>
    <font>
      <b/>
      <sz val="12"/>
      <color rgb="FF5B2A86"/>
      <name val="Cambria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C00000"/>
      <name val="Arial"/>
      <charset val="1"/>
    </font>
    <font>
      <sz val="11"/>
      <name val="Arial"/>
      <charset val="1"/>
    </font>
    <font>
      <b/>
      <sz val="11"/>
      <color rgb="FF5B2A86"/>
      <name val="Arial"/>
      <family val="2"/>
    </font>
    <font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45F06"/>
        <bgColor rgb="FF9C6500"/>
      </patternFill>
    </fill>
    <fill>
      <patternFill patternType="solid">
        <fgColor rgb="FF38761D"/>
        <bgColor rgb="FF548235"/>
      </patternFill>
    </fill>
    <fill>
      <patternFill patternType="solid">
        <fgColor rgb="FF0E7C7B"/>
        <bgColor rgb="FF2F5597"/>
      </patternFill>
    </fill>
    <fill>
      <patternFill patternType="solid">
        <fgColor rgb="FF5B2A86"/>
        <bgColor rgb="FF660066"/>
      </patternFill>
    </fill>
    <fill>
      <patternFill patternType="solid">
        <fgColor rgb="FFF3EEFA"/>
        <bgColor rgb="FFF9F9F9"/>
      </patternFill>
    </fill>
    <fill>
      <patternFill patternType="solid">
        <fgColor rgb="FF2F5597"/>
        <bgColor rgb="FF1F3864"/>
      </patternFill>
    </fill>
    <fill>
      <patternFill patternType="solid">
        <fgColor theme="9" tint="-0.249977111117893"/>
        <bgColor rgb="FF9C000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5" fillId="0" borderId="0" xfId="0" applyFont="1"/>
    <xf numFmtId="0" fontId="12" fillId="6" borderId="0" xfId="0" applyFont="1" applyFill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5" fontId="0" fillId="0" borderId="0" xfId="0" applyNumberForma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0" fontId="16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/>
    <xf numFmtId="166" fontId="24" fillId="0" borderId="0" xfId="0" applyNumberFormat="1" applyFont="1"/>
    <xf numFmtId="165" fontId="24" fillId="0" borderId="0" xfId="0" applyNumberFormat="1" applyFont="1"/>
    <xf numFmtId="0" fontId="25" fillId="8" borderId="0" xfId="0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166" fontId="26" fillId="0" borderId="0" xfId="0" applyNumberFormat="1" applyFont="1" applyAlignment="1">
      <alignment horizontal="center"/>
    </xf>
    <xf numFmtId="165" fontId="26" fillId="0" borderId="0" xfId="0" applyNumberFormat="1" applyFont="1" applyAlignment="1">
      <alignment horizontal="center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1" fillId="9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</cellXfs>
  <cellStyles count="1">
    <cellStyle name="Normal" xfId="0" builtinId="0"/>
  </cellStyles>
  <dxfs count="15"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0.0\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6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1F3864"/>
          <bgColor rgb="FF2F5597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E7C7B"/>
      <rgbColor rgb="FFB3B3B3"/>
      <rgbColor rgb="FF808080"/>
      <rgbColor rgb="FFA6A6A6"/>
      <rgbColor rgb="FF993366"/>
      <rgbColor rgb="FFF9F9F9"/>
      <rgbColor rgb="FFF3EEFA"/>
      <rgbColor rgb="FF660066"/>
      <rgbColor rgb="FFFF8080"/>
      <rgbColor rgb="FF2F5597"/>
      <rgbColor rgb="FFD9D9D9"/>
      <rgbColor rgb="FF000080"/>
      <rgbColor rgb="FFFF00FF"/>
      <rgbColor rgb="FFFFFF00"/>
      <rgbColor rgb="FF00FFFF"/>
      <rgbColor rgb="FF800080"/>
      <rgbColor rgb="FF800000"/>
      <rgbColor rgb="FF38761D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548235"/>
      <rgbColor rgb="FF003300"/>
      <rgbColor rgb="FF333300"/>
      <rgbColor rgb="FFB45F06"/>
      <rgbColor rgb="FF993366"/>
      <rgbColor rgb="FF5B2A8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400" b="1" strike="noStrike" spc="-1">
                <a:solidFill>
                  <a:srgbClr val="000000"/>
                </a:solidFill>
                <a:latin typeface="Calibri"/>
              </a:rPr>
              <a:t>Risk Category Distribution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Dashboard!$B$13</c:f>
              <c:strCache>
                <c:ptCount val="1"/>
                <c:pt idx="0">
                  <c:v>Students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75-4B2A-AA6D-6F87F6077367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75-4B2A-AA6D-6F87F6077367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C75-4B2A-AA6D-6F87F6077367}"/>
              </c:ext>
            </c:extLst>
          </c:dPt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75-4B2A-AA6D-6F87F6077367}"/>
                </c:ext>
              </c:extLst>
            </c:dLbl>
            <c:dLbl>
              <c:idx val="1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75-4B2A-AA6D-6F87F6077367}"/>
                </c:ext>
              </c:extLst>
            </c:dLbl>
            <c:dLbl>
              <c:idx val="2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75-4B2A-AA6D-6F87F60773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leaderLines>
              <c:spPr>
                <a:ln w="9525" cap="flat" cmpd="sng" algn="ctr"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Dashboard!$A$14:$A$16</c:f>
              <c:strCache>
                <c:ptCount val="3"/>
                <c:pt idx="0">
                  <c:v>RED - Dual Risk</c:v>
                </c:pt>
                <c:pt idx="1">
                  <c:v>YELLOW - Single Risk</c:v>
                </c:pt>
                <c:pt idx="2">
                  <c:v>GREEN - Satisfactory</c:v>
                </c:pt>
              </c:strCache>
            </c:strRef>
          </c:cat>
          <c:val>
            <c:numRef>
              <c:f>Dashboard!$B$14:$B$16</c:f>
              <c:numCache>
                <c:formatCode>General</c:formatCode>
                <c:ptCount val="3"/>
                <c:pt idx="0">
                  <c:v>8</c:v>
                </c:pt>
                <c:pt idx="1">
                  <c:v>19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75-4B2A-AA6D-6F87F6077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  <a:effectLst/>
      </c:spPr>
    </c:plotArea>
    <c:legend>
      <c:legendPos val="r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400" b="1" strike="noStrike" spc="-1">
                <a:solidFill>
                  <a:srgbClr val="000000"/>
                </a:solidFill>
                <a:latin typeface="Calibri"/>
              </a:rPr>
              <a:t>Attendance Watch List (Lowest 8)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Dashboard!$C$20</c:f>
              <c:strCache>
                <c:ptCount val="1"/>
                <c:pt idx="0">
                  <c:v>Attendance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Dashboard!$B$21:$B$28</c:f>
              <c:strCache>
                <c:ptCount val="8"/>
                <c:pt idx="0">
                  <c:v>Selena Onyema</c:v>
                </c:pt>
                <c:pt idx="1">
                  <c:v>Isla Mbeki</c:v>
                </c:pt>
                <c:pt idx="2">
                  <c:v>Sadie Sundberg</c:v>
                </c:pt>
                <c:pt idx="3">
                  <c:v>Gavin Blackwood</c:v>
                </c:pt>
                <c:pt idx="4">
                  <c:v>Jamal Okwuosa</c:v>
                </c:pt>
                <c:pt idx="5">
                  <c:v>Ines Idrissi</c:v>
                </c:pt>
                <c:pt idx="6">
                  <c:v>Simone Rojas</c:v>
                </c:pt>
                <c:pt idx="7">
                  <c:v>Miles Reyes</c:v>
                </c:pt>
              </c:strCache>
            </c:strRef>
          </c:cat>
          <c:val>
            <c:numRef>
              <c:f>Dashboard!$C$21:$C$28</c:f>
              <c:numCache>
                <c:formatCode>0.0\%</c:formatCode>
                <c:ptCount val="8"/>
                <c:pt idx="0">
                  <c:v>40.700000000000003</c:v>
                </c:pt>
                <c:pt idx="1">
                  <c:v>43.7</c:v>
                </c:pt>
                <c:pt idx="2">
                  <c:v>45.9</c:v>
                </c:pt>
                <c:pt idx="3">
                  <c:v>46.3</c:v>
                </c:pt>
                <c:pt idx="4">
                  <c:v>46.7</c:v>
                </c:pt>
                <c:pt idx="5">
                  <c:v>48.3</c:v>
                </c:pt>
                <c:pt idx="6">
                  <c:v>55</c:v>
                </c:pt>
                <c:pt idx="7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7-4DE6-8FA1-D846E961D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764605"/>
        <c:axId val="40377669"/>
      </c:barChart>
      <c:catAx>
        <c:axId val="7876460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40377669"/>
        <c:crosses val="autoZero"/>
        <c:auto val="1"/>
        <c:lblAlgn val="ctr"/>
        <c:lblOffset val="100"/>
        <c:noMultiLvlLbl val="0"/>
      </c:catAx>
      <c:valAx>
        <c:axId val="4037766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Attendance %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0.0\%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78764605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400" b="1" strike="noStrike" spc="-1">
                <a:solidFill>
                  <a:srgbClr val="000000"/>
                </a:solidFill>
                <a:latin typeface="Calibri"/>
              </a:rPr>
              <a:t>Filtered Risk Breakdown (updates with dropdowns above)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Dashboard!$B$50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11-40B4-ABF5-5D93932373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11-40B4-ABF5-5D93932373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F11-40B4-ABF5-5D9393237317}"/>
              </c:ext>
            </c:extLst>
          </c:dPt>
          <c:dLbls>
            <c:dLbl>
              <c:idx val="0"/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11-40B4-ABF5-5D9393237317}"/>
                </c:ext>
              </c:extLst>
            </c:dLbl>
            <c:dLbl>
              <c:idx val="1"/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11-40B4-ABF5-5D9393237317}"/>
                </c:ext>
              </c:extLst>
            </c:dLbl>
            <c:dLbl>
              <c:idx val="2"/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11-40B4-ABF5-5D93932373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Dashboard!$A$51:$A$53</c:f>
              <c:strCache>
                <c:ptCount val="3"/>
                <c:pt idx="0">
                  <c:v>RED - Dual Risk</c:v>
                </c:pt>
                <c:pt idx="1">
                  <c:v>YELLOW - Single Risk</c:v>
                </c:pt>
                <c:pt idx="2">
                  <c:v>GREEN - Satisfactory</c:v>
                </c:pt>
              </c:strCache>
            </c:strRef>
          </c:cat>
          <c:val>
            <c:numRef>
              <c:f>Dashboard!$B$51:$B$53</c:f>
              <c:numCache>
                <c:formatCode>General</c:formatCode>
                <c:ptCount val="3"/>
                <c:pt idx="0">
                  <c:v>8</c:v>
                </c:pt>
                <c:pt idx="1">
                  <c:v>19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11-40B4-ABF5-5D9393237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162605"/>
        <c:axId val="59375826"/>
      </c:barChart>
      <c:catAx>
        <c:axId val="651626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0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59375826"/>
        <c:crosses val="autoZero"/>
        <c:auto val="1"/>
        <c:lblAlgn val="ctr"/>
        <c:lblOffset val="100"/>
        <c:noMultiLvlLbl val="0"/>
      </c:catAx>
      <c:valAx>
        <c:axId val="5937582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Students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0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65162605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400" b="1" strike="noStrike" spc="-1">
                <a:solidFill>
                  <a:srgbClr val="000000"/>
                </a:solidFill>
                <a:latin typeface="Calibri"/>
              </a:rPr>
              <a:t>Weekly Risk Trend (Stacked)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Dashboard!$B$32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chemeClr val="tx1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Dashboard!$A$33:$A$42</c:f>
              <c:strCache>
                <c:ptCount val="10"/>
                <c:pt idx="0">
                  <c:v>Week 1 (current)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Dashboard!$B$33:$B$42</c:f>
              <c:numCache>
                <c:formatCode>General</c:formatCode>
                <c:ptCount val="10"/>
                <c:pt idx="0">
                  <c:v>8</c:v>
                </c:pt>
                <c:pt idx="1">
                  <c:v>9</c:v>
                </c:pt>
                <c:pt idx="2">
                  <c:v>9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C-4E90-BDF6-8E1DFF80D8E8}"/>
            </c:ext>
          </c:extLst>
        </c:ser>
        <c:ser>
          <c:idx val="1"/>
          <c:order val="1"/>
          <c:tx>
            <c:strRef>
              <c:f>Dashboard!$C$32</c:f>
              <c:strCache>
                <c:ptCount val="1"/>
                <c:pt idx="0">
                  <c:v>Yellow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chemeClr val="tx1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Dashboard!$A$33:$A$42</c:f>
              <c:strCache>
                <c:ptCount val="10"/>
                <c:pt idx="0">
                  <c:v>Week 1 (current)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Dashboard!$C$33:$C$42</c:f>
              <c:numCache>
                <c:formatCode>General</c:formatCode>
                <c:ptCount val="10"/>
                <c:pt idx="0">
                  <c:v>19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DC-4E90-BDF6-8E1DFF80D8E8}"/>
            </c:ext>
          </c:extLst>
        </c:ser>
        <c:ser>
          <c:idx val="2"/>
          <c:order val="2"/>
          <c:tx>
            <c:strRef>
              <c:f>Dashboard!$D$32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spc="-1" baseline="0">
                    <a:solidFill>
                      <a:schemeClr val="tx1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Dashboard!$A$33:$A$42</c:f>
              <c:strCache>
                <c:ptCount val="10"/>
                <c:pt idx="0">
                  <c:v>Week 1 (current)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Dashboard!$D$33:$D$42</c:f>
              <c:numCache>
                <c:formatCode>General</c:formatCode>
                <c:ptCount val="10"/>
                <c:pt idx="0">
                  <c:v>23</c:v>
                </c:pt>
                <c:pt idx="1">
                  <c:v>36</c:v>
                </c:pt>
                <c:pt idx="2">
                  <c:v>35</c:v>
                </c:pt>
                <c:pt idx="3">
                  <c:v>34</c:v>
                </c:pt>
                <c:pt idx="4">
                  <c:v>35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DC-4E90-BDF6-8E1DFF80D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417720"/>
        <c:axId val="49124299"/>
      </c:barChart>
      <c:catAx>
        <c:axId val="92417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0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49124299"/>
        <c:crosses val="autoZero"/>
        <c:auto val="1"/>
        <c:lblAlgn val="ctr"/>
        <c:lblOffset val="100"/>
        <c:noMultiLvlLbl val="0"/>
      </c:catAx>
      <c:valAx>
        <c:axId val="491242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Students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0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92417720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r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376645</xdr:colOff>
      <xdr:row>9</xdr:row>
      <xdr:rowOff>74025</xdr:rowOff>
    </xdr:from>
    <xdr:to>
      <xdr:col>8</xdr:col>
      <xdr:colOff>304800</xdr:colOff>
      <xdr:row>20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108857</xdr:colOff>
      <xdr:row>9</xdr:row>
      <xdr:rowOff>96884</xdr:rowOff>
    </xdr:from>
    <xdr:to>
      <xdr:col>14</xdr:col>
      <xdr:colOff>370114</xdr:colOff>
      <xdr:row>20</xdr:row>
      <xdr:rowOff>38100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119743</xdr:colOff>
      <xdr:row>34</xdr:row>
      <xdr:rowOff>40276</xdr:rowOff>
    </xdr:from>
    <xdr:to>
      <xdr:col>14</xdr:col>
      <xdr:colOff>359228</xdr:colOff>
      <xdr:row>51</xdr:row>
      <xdr:rowOff>119743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305889</xdr:colOff>
      <xdr:row>19</xdr:row>
      <xdr:rowOff>80284</xdr:rowOff>
    </xdr:from>
    <xdr:to>
      <xdr:col>12</xdr:col>
      <xdr:colOff>250372</xdr:colOff>
      <xdr:row>30</xdr:row>
      <xdr:rowOff>112940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lyTrendLogHillcrest" displayName="WeeklyTrendLogHillcrest" ref="A32:D42" totalsRowShown="0">
  <autoFilter ref="A32:D42" xr:uid="{00000000-0009-0000-0100-000001000000}"/>
  <tableColumns count="4">
    <tableColumn id="1" xr3:uid="{00000000-0010-0000-0000-000001000000}" name="Week"/>
    <tableColumn id="2" xr3:uid="{00000000-0010-0000-0000-000002000000}" name="Red"/>
    <tableColumn id="3" xr3:uid="{00000000-0010-0000-0000-000003000000}" name="Yellow"/>
    <tableColumn id="4" xr3:uid="{00000000-0010-0000-0000-000004000000}" name="Gree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88294-63B8-4C43-B3F5-B11983BDBB5C}" name="Table2" displayName="Table2" ref="A1:J51" totalsRowShown="0" headerRowDxfId="14" dataDxfId="13">
  <autoFilter ref="A1:J51" xr:uid="{9B688294-63B8-4C43-B3F5-B11983BDBB5C}"/>
  <tableColumns count="10">
    <tableColumn id="1" xr3:uid="{86159E59-7F90-466D-9199-69121E63E6F5}" name="Student ID" dataDxfId="12"/>
    <tableColumn id="2" xr3:uid="{672F2431-6B94-4EF3-A454-F98F137211CD}" name="Name" dataDxfId="11"/>
    <tableColumn id="3" xr3:uid="{006F4A3D-0954-4E7A-8907-39810C57CCE1}" name="Test 1" dataDxfId="10"/>
    <tableColumn id="4" xr3:uid="{D4DD0056-D2E9-4F41-B0A7-2EF98941A6CC}" name="Test 2" dataDxfId="9"/>
    <tableColumn id="5" xr3:uid="{AAB601C6-9751-4EF1-906A-48C977FB0167}" name="Test 3" dataDxfId="8"/>
    <tableColumn id="6" xr3:uid="{4221DDFB-784A-4E99-815D-C4BAD1733F67}" name="Average" dataDxfId="7">
      <calculatedColumnFormula>ROUND(AVERAGE(C2:E2),1)</calculatedColumnFormula>
    </tableColumn>
    <tableColumn id="7" xr3:uid="{679A59F0-5384-48B5-8E69-BDA1F718AD37}" name="Attendance %" dataDxfId="6"/>
    <tableColumn id="8" xr3:uid="{33642AA2-3272-476E-936E-8FD6A27A90FF}" name="Academic Status" dataDxfId="5">
      <calculatedColumnFormula>IF(F2&lt;60,"FAIL","PASS")</calculatedColumnFormula>
    </tableColumn>
    <tableColumn id="9" xr3:uid="{B33BBF1E-24D3-4047-9950-5EB2F57379A4}" name="Attendance Status" dataDxfId="4">
      <calculatedColumnFormula>IF(G2&lt;75,"FAIL","PASS")</calculatedColumnFormula>
    </tableColumn>
    <tableColumn id="10" xr3:uid="{691C9F3D-30C2-4698-94AC-16096146FF9C}" name="Risk Category" dataDxfId="3">
      <calculatedColumnFormula>IF(AND(H2="FAIL",I2="FAIL"),"RED - Dual Risk",IF(OR(H2="FAIL",I2="FAIL"),"YELLOW - Single Risk","GREEN - Satisfactory"))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"/>
  <sheetViews>
    <sheetView showGridLines="0" tabSelected="1" topLeftCell="A23" zoomScale="80" zoomScaleNormal="80" workbookViewId="0">
      <selection activeCell="T10" sqref="T10"/>
    </sheetView>
  </sheetViews>
  <sheetFormatPr defaultColWidth="8.6640625" defaultRowHeight="14.4" x14ac:dyDescent="0.3"/>
  <cols>
    <col min="1" max="1" width="15.109375" customWidth="1"/>
    <col min="2" max="12" width="10.5546875" customWidth="1"/>
  </cols>
  <sheetData>
    <row r="1" spans="1:14" ht="30" customHeight="1" x14ac:dyDescent="0.3">
      <c r="A1" s="29" t="s">
        <v>149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N1" s="1" t="s">
        <v>0</v>
      </c>
    </row>
    <row r="2" spans="1:14" ht="6.6" customHeight="1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4" ht="30" customHeight="1" x14ac:dyDescent="0.3">
      <c r="A3" s="31" t="s">
        <v>150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N3" s="2">
        <f>COUNTA('Student Data'!A2:A51)</f>
        <v>50</v>
      </c>
    </row>
    <row r="4" spans="1:14" ht="6" customHeight="1" x14ac:dyDescent="0.3"/>
    <row r="5" spans="1:14" ht="19.5" customHeight="1" x14ac:dyDescent="0.3">
      <c r="A5" s="32" t="s">
        <v>1</v>
      </c>
      <c r="B5" s="32"/>
      <c r="C5" s="33" t="s">
        <v>2</v>
      </c>
      <c r="D5" s="33"/>
      <c r="F5" s="34" t="s">
        <v>3</v>
      </c>
      <c r="G5" s="34"/>
      <c r="H5" s="35" t="s">
        <v>4</v>
      </c>
      <c r="I5" s="35"/>
      <c r="N5" s="2">
        <f>COUNTIF('Student Data'!J2:J51,"RED - Dual Risk")</f>
        <v>8</v>
      </c>
    </row>
    <row r="6" spans="1:14" ht="27.75" customHeight="1" x14ac:dyDescent="0.3">
      <c r="A6" s="36">
        <f>N3</f>
        <v>50</v>
      </c>
      <c r="B6" s="36"/>
      <c r="C6" s="37">
        <f>N8</f>
        <v>27</v>
      </c>
      <c r="D6" s="37"/>
      <c r="F6" s="38">
        <f>N7</f>
        <v>23</v>
      </c>
      <c r="G6" s="38"/>
      <c r="H6" s="39">
        <f>N9</f>
        <v>0.46</v>
      </c>
      <c r="I6" s="39"/>
      <c r="N6" s="2">
        <f>COUNTIF('Student Data'!J2:J51,"YELLOW - Single Risk")</f>
        <v>19</v>
      </c>
    </row>
    <row r="7" spans="1:14" ht="27.75" customHeight="1" x14ac:dyDescent="0.3">
      <c r="A7" s="36"/>
      <c r="B7" s="36"/>
      <c r="C7" s="37"/>
      <c r="D7" s="37"/>
      <c r="F7" s="38"/>
      <c r="G7" s="38"/>
      <c r="H7" s="39"/>
      <c r="I7" s="39"/>
      <c r="N7" s="2">
        <f>COUNTIF('Student Data'!J2:J51,"GREEN - Satisfactory")</f>
        <v>23</v>
      </c>
    </row>
    <row r="8" spans="1:14" ht="27.75" customHeight="1" x14ac:dyDescent="0.3">
      <c r="A8" s="36"/>
      <c r="B8" s="36"/>
      <c r="C8" s="37"/>
      <c r="D8" s="37"/>
      <c r="F8" s="38"/>
      <c r="G8" s="38"/>
      <c r="H8" s="39"/>
      <c r="I8" s="39"/>
      <c r="N8" s="2">
        <f>N5+N6</f>
        <v>27</v>
      </c>
    </row>
    <row r="9" spans="1:14" ht="15.75" customHeight="1" x14ac:dyDescent="0.3">
      <c r="A9" s="40" t="s">
        <v>5</v>
      </c>
      <c r="B9" s="40"/>
      <c r="C9" s="40" t="s">
        <v>5</v>
      </c>
      <c r="D9" s="40"/>
      <c r="F9" s="40" t="s">
        <v>5</v>
      </c>
      <c r="G9" s="40"/>
      <c r="H9" s="40" t="s">
        <v>6</v>
      </c>
      <c r="I9" s="40"/>
      <c r="N9" s="2">
        <f>N7/N3</f>
        <v>0.46</v>
      </c>
    </row>
    <row r="12" spans="1:14" ht="15" customHeight="1" x14ac:dyDescent="0.3">
      <c r="A12" s="27" t="s">
        <v>7</v>
      </c>
    </row>
    <row r="13" spans="1:14" ht="15" customHeight="1" x14ac:dyDescent="0.3">
      <c r="A13" s="3" t="s">
        <v>8</v>
      </c>
      <c r="B13" s="3" t="s">
        <v>9</v>
      </c>
    </row>
    <row r="14" spans="1:14" ht="15" customHeight="1" x14ac:dyDescent="0.3">
      <c r="A14" s="4" t="s">
        <v>10</v>
      </c>
      <c r="B14">
        <f>N5</f>
        <v>8</v>
      </c>
    </row>
    <row r="15" spans="1:14" ht="15" customHeight="1" x14ac:dyDescent="0.3">
      <c r="A15" s="5" t="s">
        <v>11</v>
      </c>
      <c r="B15">
        <f>N6</f>
        <v>19</v>
      </c>
    </row>
    <row r="16" spans="1:14" ht="15" customHeight="1" x14ac:dyDescent="0.3">
      <c r="A16" s="6" t="s">
        <v>3</v>
      </c>
      <c r="B16">
        <f>N7</f>
        <v>23</v>
      </c>
    </row>
    <row r="19" spans="1:4" ht="15" customHeight="1" x14ac:dyDescent="0.3">
      <c r="A19" s="27" t="s">
        <v>12</v>
      </c>
    </row>
    <row r="20" spans="1:4" ht="15" customHeight="1" x14ac:dyDescent="0.3">
      <c r="A20" s="3" t="s">
        <v>13</v>
      </c>
      <c r="B20" s="3" t="s">
        <v>14</v>
      </c>
      <c r="C20" s="3" t="s">
        <v>15</v>
      </c>
    </row>
    <row r="21" spans="1:4" ht="15" customHeight="1" x14ac:dyDescent="0.3">
      <c r="A21">
        <v>1</v>
      </c>
      <c r="B21" t="str">
        <f>INDEX('Student Data'!$B$2:$B$51,MATCH(SMALL('Student Data'!$R$2:$R$51,1),'Student Data'!$R$2:$R$51,0))</f>
        <v>Selena Onyema</v>
      </c>
      <c r="C21" s="7">
        <f>SMALL('Student Data'!$G$2:$G$51,1)</f>
        <v>40.700000000000003</v>
      </c>
    </row>
    <row r="22" spans="1:4" ht="15" customHeight="1" x14ac:dyDescent="0.3">
      <c r="A22">
        <v>2</v>
      </c>
      <c r="B22" t="str">
        <f>INDEX('Student Data'!$B$2:$B$51,MATCH(SMALL('Student Data'!$R$2:$R$51,2),'Student Data'!$R$2:$R$51,0))</f>
        <v>Isla Mbeki</v>
      </c>
      <c r="C22" s="7">
        <f>SMALL('Student Data'!$G$2:$G$51,2)</f>
        <v>43.7</v>
      </c>
    </row>
    <row r="23" spans="1:4" ht="15" customHeight="1" x14ac:dyDescent="0.3">
      <c r="A23">
        <v>3</v>
      </c>
      <c r="B23" t="str">
        <f>INDEX('Student Data'!$B$2:$B$51,MATCH(SMALL('Student Data'!$R$2:$R$51,3),'Student Data'!$R$2:$R$51,0))</f>
        <v>Sadie Sundberg</v>
      </c>
      <c r="C23" s="7">
        <f>SMALL('Student Data'!$G$2:$G$51,3)</f>
        <v>45.9</v>
      </c>
    </row>
    <row r="24" spans="1:4" ht="15" customHeight="1" x14ac:dyDescent="0.3">
      <c r="A24">
        <v>4</v>
      </c>
      <c r="B24" t="str">
        <f>INDEX('Student Data'!$B$2:$B$51,MATCH(SMALL('Student Data'!$R$2:$R$51,4),'Student Data'!$R$2:$R$51,0))</f>
        <v>Gavin Blackwood</v>
      </c>
      <c r="C24" s="7">
        <f>SMALL('Student Data'!$G$2:$G$51,4)</f>
        <v>46.3</v>
      </c>
    </row>
    <row r="25" spans="1:4" ht="15" customHeight="1" x14ac:dyDescent="0.3">
      <c r="A25">
        <v>5</v>
      </c>
      <c r="B25" t="str">
        <f>INDEX('Student Data'!$B$2:$B$51,MATCH(SMALL('Student Data'!$R$2:$R$51,5),'Student Data'!$R$2:$R$51,0))</f>
        <v>Jamal Okwuosa</v>
      </c>
      <c r="C25" s="7">
        <f>SMALL('Student Data'!$G$2:$G$51,5)</f>
        <v>46.7</v>
      </c>
    </row>
    <row r="26" spans="1:4" ht="15" customHeight="1" x14ac:dyDescent="0.3">
      <c r="A26">
        <v>6</v>
      </c>
      <c r="B26" t="str">
        <f>INDEX('Student Data'!$B$2:$B$51,MATCH(SMALL('Student Data'!$R$2:$R$51,6),'Student Data'!$R$2:$R$51,0))</f>
        <v>Ines Idrissi</v>
      </c>
      <c r="C26" s="7">
        <f>SMALL('Student Data'!$G$2:$G$51,6)</f>
        <v>48.3</v>
      </c>
    </row>
    <row r="27" spans="1:4" ht="15" customHeight="1" x14ac:dyDescent="0.3">
      <c r="A27">
        <v>7</v>
      </c>
      <c r="B27" t="str">
        <f>INDEX('Student Data'!$B$2:$B$51,MATCH(SMALL('Student Data'!$R$2:$R$51,7),'Student Data'!$R$2:$R$51,0))</f>
        <v>Simone Rojas</v>
      </c>
      <c r="C27" s="7">
        <f>SMALL('Student Data'!$G$2:$G$51,7)</f>
        <v>55</v>
      </c>
    </row>
    <row r="28" spans="1:4" ht="15" customHeight="1" x14ac:dyDescent="0.3">
      <c r="A28">
        <v>8</v>
      </c>
      <c r="B28" t="str">
        <f>INDEX('Student Data'!$B$2:$B$51,MATCH(SMALL('Student Data'!$R$2:$R$51,8),'Student Data'!$R$2:$R$51,0))</f>
        <v>Miles Reyes</v>
      </c>
      <c r="C28" s="7">
        <f>SMALL('Student Data'!$G$2:$G$51,8)</f>
        <v>57</v>
      </c>
    </row>
    <row r="31" spans="1:4" ht="15" customHeight="1" x14ac:dyDescent="0.3">
      <c r="A31" s="27" t="s">
        <v>151</v>
      </c>
    </row>
    <row r="32" spans="1:4" ht="15" customHeight="1" x14ac:dyDescent="0.3">
      <c r="A32" s="3" t="s">
        <v>16</v>
      </c>
      <c r="B32" s="3" t="s">
        <v>17</v>
      </c>
      <c r="C32" s="3" t="s">
        <v>18</v>
      </c>
      <c r="D32" s="3" t="s">
        <v>19</v>
      </c>
    </row>
    <row r="33" spans="1:4" ht="15" customHeight="1" x14ac:dyDescent="0.3">
      <c r="A33" s="9" t="s">
        <v>20</v>
      </c>
      <c r="B33" s="10">
        <f>N5</f>
        <v>8</v>
      </c>
      <c r="C33" s="11">
        <f>N6</f>
        <v>19</v>
      </c>
      <c r="D33" s="12">
        <f>N7</f>
        <v>23</v>
      </c>
    </row>
    <row r="34" spans="1:4" ht="15" customHeight="1" x14ac:dyDescent="0.3">
      <c r="A34" t="s">
        <v>21</v>
      </c>
      <c r="B34">
        <v>9</v>
      </c>
      <c r="C34">
        <v>5</v>
      </c>
      <c r="D34">
        <v>36</v>
      </c>
    </row>
    <row r="35" spans="1:4" ht="15" customHeight="1" x14ac:dyDescent="0.3">
      <c r="A35" t="s">
        <v>22</v>
      </c>
      <c r="B35">
        <v>9</v>
      </c>
      <c r="C35">
        <v>6</v>
      </c>
      <c r="D35">
        <v>35</v>
      </c>
    </row>
    <row r="36" spans="1:4" ht="15" customHeight="1" x14ac:dyDescent="0.3">
      <c r="A36" t="s">
        <v>23</v>
      </c>
      <c r="B36">
        <v>11</v>
      </c>
      <c r="C36">
        <v>5</v>
      </c>
      <c r="D36">
        <v>34</v>
      </c>
    </row>
    <row r="37" spans="1:4" ht="15" customHeight="1" x14ac:dyDescent="0.3">
      <c r="A37" t="s">
        <v>24</v>
      </c>
      <c r="B37">
        <v>11</v>
      </c>
      <c r="C37">
        <v>4</v>
      </c>
      <c r="D37">
        <v>35</v>
      </c>
    </row>
    <row r="38" spans="1:4" ht="15" customHeight="1" x14ac:dyDescent="0.3">
      <c r="A38" t="s">
        <v>25</v>
      </c>
      <c r="B38">
        <v>11</v>
      </c>
      <c r="C38">
        <v>5</v>
      </c>
      <c r="D38">
        <v>34</v>
      </c>
    </row>
    <row r="39" spans="1:4" x14ac:dyDescent="0.3">
      <c r="A39" s="13" t="s">
        <v>26</v>
      </c>
    </row>
    <row r="40" spans="1:4" x14ac:dyDescent="0.3">
      <c r="A40" s="13" t="s">
        <v>27</v>
      </c>
    </row>
    <row r="41" spans="1:4" x14ac:dyDescent="0.3">
      <c r="A41" s="13" t="s">
        <v>28</v>
      </c>
    </row>
    <row r="42" spans="1:4" x14ac:dyDescent="0.3">
      <c r="A42" s="13" t="s">
        <v>29</v>
      </c>
    </row>
    <row r="44" spans="1:4" x14ac:dyDescent="0.3">
      <c r="A44" s="27" t="s">
        <v>30</v>
      </c>
    </row>
    <row r="46" spans="1:4" x14ac:dyDescent="0.3">
      <c r="A46" s="14" t="s">
        <v>31</v>
      </c>
      <c r="C46" s="15" t="s">
        <v>32</v>
      </c>
    </row>
    <row r="47" spans="1:4" x14ac:dyDescent="0.3">
      <c r="A47" s="14" t="s">
        <v>33</v>
      </c>
      <c r="C47" s="15" t="s">
        <v>32</v>
      </c>
    </row>
    <row r="49" spans="1:8" x14ac:dyDescent="0.3">
      <c r="A49" s="8" t="s">
        <v>34</v>
      </c>
    </row>
    <row r="50" spans="1:8" x14ac:dyDescent="0.3">
      <c r="A50" s="3" t="s">
        <v>8</v>
      </c>
      <c r="B50" s="3" t="s">
        <v>9</v>
      </c>
    </row>
    <row r="51" spans="1:8" x14ac:dyDescent="0.3">
      <c r="A51" s="4" t="s">
        <v>10</v>
      </c>
      <c r="B51" s="16">
        <f>COUNTIFS('Student Data'!$H$2:$H$51,IF($C$46="All","*",$C$46),'Student Data'!$I$2:$I$51,IF($C$47="All","*",$C$47),'Student Data'!$J$2:$J$51,"RED - Dual Risk")</f>
        <v>8</v>
      </c>
    </row>
    <row r="52" spans="1:8" x14ac:dyDescent="0.3">
      <c r="A52" s="5" t="s">
        <v>11</v>
      </c>
      <c r="B52" s="16">
        <f>COUNTIFS('Student Data'!$H$2:$H$51,IF($C$46="All","*",$C$46),'Student Data'!$I$2:$I$51,IF($C$47="All","*",$C$47),'Student Data'!$J$2:$J$51,"YELLOW - Single Risk")</f>
        <v>19</v>
      </c>
    </row>
    <row r="53" spans="1:8" x14ac:dyDescent="0.3">
      <c r="A53" s="6" t="s">
        <v>3</v>
      </c>
      <c r="B53" s="16">
        <f>COUNTIFS('Student Data'!$H$2:$H$51,IF($C$46="All","*",$C$46),'Student Data'!$I$2:$I$51,IF($C$47="All","*",$C$47),'Student Data'!$J$2:$J$51,"GREEN - Satisfactory")</f>
        <v>23</v>
      </c>
    </row>
    <row r="55" spans="1:8" ht="15.6" x14ac:dyDescent="0.3">
      <c r="A55" s="17" t="s">
        <v>35</v>
      </c>
      <c r="B55" s="18">
        <f>SUM(B51:B53)</f>
        <v>50</v>
      </c>
      <c r="D55" s="17" t="s">
        <v>36</v>
      </c>
      <c r="E55" s="19">
        <f>IFERROR(AVERAGEIFS('Student Data'!$F$2:$F$51,'Student Data'!$H$2:$H$51,IF($C$46="All","*",$C$46),'Student Data'!$I$2:$I$51,IF($C$47="All","*",$C$47)),"n/a")</f>
        <v>69.640000000000043</v>
      </c>
      <c r="G55" s="17" t="s">
        <v>37</v>
      </c>
      <c r="H55" s="20">
        <f>IFERROR(AVERAGEIFS('Student Data'!$G$2:$G$51,'Student Data'!$H$2:$H$51,IF($C$46="All","*",$C$46),'Student Data'!$I$2:$I$51,IF($C$47="All","*",$C$47)),"n/a")</f>
        <v>77.872</v>
      </c>
    </row>
    <row r="64" spans="1:8" ht="15" customHeight="1" x14ac:dyDescent="0.3"/>
    <row r="66" ht="15" customHeight="1" x14ac:dyDescent="0.3"/>
    <row r="67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5" ht="15" customHeight="1" x14ac:dyDescent="0.3"/>
  </sheetData>
  <mergeCells count="15">
    <mergeCell ref="A6:B8"/>
    <mergeCell ref="C6:D8"/>
    <mergeCell ref="F6:G8"/>
    <mergeCell ref="H6:I8"/>
    <mergeCell ref="A9:B9"/>
    <mergeCell ref="C9:D9"/>
    <mergeCell ref="F9:G9"/>
    <mergeCell ref="H9:I9"/>
    <mergeCell ref="A1:L1"/>
    <mergeCell ref="A2:L2"/>
    <mergeCell ref="A3:L3"/>
    <mergeCell ref="A5:B5"/>
    <mergeCell ref="C5:D5"/>
    <mergeCell ref="F5:G5"/>
    <mergeCell ref="H5:I5"/>
  </mergeCells>
  <dataValidations count="1">
    <dataValidation type="list" sqref="C46:C47" xr:uid="{00000000-0002-0000-0000-000000000000}">
      <formula1>"All,PASS,FAIL"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1"/>
  <sheetViews>
    <sheetView zoomScaleNormal="100" workbookViewId="0">
      <pane ySplit="1" topLeftCell="A2" activePane="bottomLeft" state="frozen"/>
      <selection pane="bottomLeft" activeCell="J2" sqref="J2"/>
    </sheetView>
  </sheetViews>
  <sheetFormatPr defaultColWidth="8.6640625" defaultRowHeight="14.4" x14ac:dyDescent="0.3"/>
  <cols>
    <col min="1" max="1" width="13" customWidth="1"/>
    <col min="2" max="2" width="20" customWidth="1"/>
    <col min="3" max="5" width="8.77734375" customWidth="1"/>
    <col min="6" max="6" width="11.109375" customWidth="1"/>
    <col min="7" max="7" width="19.109375" bestFit="1" customWidth="1"/>
    <col min="8" max="8" width="22" bestFit="1" customWidth="1"/>
    <col min="9" max="9" width="23.44140625" bestFit="1" customWidth="1"/>
    <col min="10" max="10" width="20" customWidth="1"/>
  </cols>
  <sheetData>
    <row r="1" spans="1:18" ht="15" customHeight="1" x14ac:dyDescent="0.3">
      <c r="A1" s="21" t="s">
        <v>38</v>
      </c>
      <c r="B1" s="21" t="s">
        <v>39</v>
      </c>
      <c r="C1" s="21" t="s">
        <v>40</v>
      </c>
      <c r="D1" s="21" t="s">
        <v>41</v>
      </c>
      <c r="E1" s="21" t="s">
        <v>42</v>
      </c>
      <c r="F1" s="21" t="s">
        <v>43</v>
      </c>
      <c r="G1" s="21" t="s">
        <v>15</v>
      </c>
      <c r="H1" s="21" t="s">
        <v>44</v>
      </c>
      <c r="I1" s="21" t="s">
        <v>45</v>
      </c>
      <c r="J1" s="21" t="s">
        <v>46</v>
      </c>
      <c r="R1" t="s">
        <v>47</v>
      </c>
    </row>
    <row r="2" spans="1:18" ht="15" customHeight="1" x14ac:dyDescent="0.3">
      <c r="A2" s="22" t="s">
        <v>48</v>
      </c>
      <c r="B2" s="22" t="s">
        <v>49</v>
      </c>
      <c r="C2" s="22">
        <v>31</v>
      </c>
      <c r="D2" s="22">
        <v>39</v>
      </c>
      <c r="E2" s="22">
        <v>32</v>
      </c>
      <c r="F2" s="23">
        <f t="shared" ref="F2:F33" si="0">ROUND(AVERAGE(C2:E2),1)</f>
        <v>34</v>
      </c>
      <c r="G2" s="24">
        <v>70.099999999999994</v>
      </c>
      <c r="H2" s="22" t="str">
        <f t="shared" ref="H2:H33" si="1">IF(F2&lt;60,"FAIL","PASS")</f>
        <v>FAIL</v>
      </c>
      <c r="I2" s="22" t="str">
        <f t="shared" ref="I2:I33" si="2">IF(G2&lt;75,"FAIL","PASS")</f>
        <v>FAIL</v>
      </c>
      <c r="J2" s="22" t="str">
        <f t="shared" ref="J2:J33" si="3">IF(AND(H2="FAIL",I2="FAIL"),"RED - Dual Risk",IF(OR(H2="FAIL",I2="FAIL"),"YELLOW - Single Risk","GREEN - Satisfactory"))</f>
        <v>RED - Dual Risk</v>
      </c>
      <c r="R2">
        <f t="shared" ref="R2:R33" si="4">G2+(ROW()-1)/1000000</f>
        <v>70.100000999999992</v>
      </c>
    </row>
    <row r="3" spans="1:18" ht="15" customHeight="1" x14ac:dyDescent="0.3">
      <c r="A3" s="22" t="s">
        <v>50</v>
      </c>
      <c r="B3" s="22" t="s">
        <v>51</v>
      </c>
      <c r="C3" s="22">
        <v>50</v>
      </c>
      <c r="D3" s="22">
        <v>53</v>
      </c>
      <c r="E3" s="22">
        <v>48</v>
      </c>
      <c r="F3" s="23">
        <f t="shared" si="0"/>
        <v>50.3</v>
      </c>
      <c r="G3" s="24">
        <v>48.3</v>
      </c>
      <c r="H3" s="22" t="str">
        <f t="shared" si="1"/>
        <v>FAIL</v>
      </c>
      <c r="I3" s="22" t="str">
        <f t="shared" si="2"/>
        <v>FAIL</v>
      </c>
      <c r="J3" s="22" t="str">
        <f t="shared" si="3"/>
        <v>RED - Dual Risk</v>
      </c>
      <c r="R3">
        <f t="shared" si="4"/>
        <v>48.300001999999999</v>
      </c>
    </row>
    <row r="4" spans="1:18" ht="15" customHeight="1" x14ac:dyDescent="0.3">
      <c r="A4" s="22" t="s">
        <v>52</v>
      </c>
      <c r="B4" s="22" t="s">
        <v>53</v>
      </c>
      <c r="C4" s="22">
        <v>42</v>
      </c>
      <c r="D4" s="22">
        <v>44</v>
      </c>
      <c r="E4" s="22">
        <v>55</v>
      </c>
      <c r="F4" s="23">
        <f t="shared" si="0"/>
        <v>47</v>
      </c>
      <c r="G4" s="24">
        <v>83.8</v>
      </c>
      <c r="H4" s="22" t="str">
        <f t="shared" si="1"/>
        <v>FAIL</v>
      </c>
      <c r="I4" s="22" t="str">
        <f t="shared" si="2"/>
        <v>PASS</v>
      </c>
      <c r="J4" s="22" t="str">
        <f t="shared" si="3"/>
        <v>YELLOW - Single Risk</v>
      </c>
      <c r="R4">
        <f t="shared" si="4"/>
        <v>83.800003000000004</v>
      </c>
    </row>
    <row r="5" spans="1:18" ht="15" customHeight="1" x14ac:dyDescent="0.3">
      <c r="A5" s="22" t="s">
        <v>54</v>
      </c>
      <c r="B5" s="22" t="s">
        <v>55</v>
      </c>
      <c r="C5" s="22">
        <v>79</v>
      </c>
      <c r="D5" s="22">
        <v>78</v>
      </c>
      <c r="E5" s="22">
        <v>81</v>
      </c>
      <c r="F5" s="23">
        <f t="shared" si="0"/>
        <v>79.3</v>
      </c>
      <c r="G5" s="24">
        <v>69.400000000000006</v>
      </c>
      <c r="H5" s="22" t="str">
        <f t="shared" si="1"/>
        <v>PASS</v>
      </c>
      <c r="I5" s="22" t="str">
        <f t="shared" si="2"/>
        <v>FAIL</v>
      </c>
      <c r="J5" s="22" t="str">
        <f t="shared" si="3"/>
        <v>YELLOW - Single Risk</v>
      </c>
      <c r="R5">
        <f t="shared" si="4"/>
        <v>69.40000400000001</v>
      </c>
    </row>
    <row r="6" spans="1:18" ht="15" customHeight="1" x14ac:dyDescent="0.3">
      <c r="A6" s="22" t="s">
        <v>56</v>
      </c>
      <c r="B6" s="22" t="s">
        <v>57</v>
      </c>
      <c r="C6" s="22">
        <v>75</v>
      </c>
      <c r="D6" s="22">
        <v>82</v>
      </c>
      <c r="E6" s="22">
        <v>63</v>
      </c>
      <c r="F6" s="23">
        <f t="shared" si="0"/>
        <v>73.3</v>
      </c>
      <c r="G6" s="24">
        <v>90.3</v>
      </c>
      <c r="H6" s="22" t="str">
        <f t="shared" si="1"/>
        <v>PASS</v>
      </c>
      <c r="I6" s="22" t="str">
        <f t="shared" si="2"/>
        <v>PASS</v>
      </c>
      <c r="J6" s="22" t="str">
        <f t="shared" si="3"/>
        <v>GREEN - Satisfactory</v>
      </c>
      <c r="R6">
        <f t="shared" si="4"/>
        <v>90.300004999999999</v>
      </c>
    </row>
    <row r="7" spans="1:18" ht="15" customHeight="1" x14ac:dyDescent="0.3">
      <c r="A7" s="22" t="s">
        <v>58</v>
      </c>
      <c r="B7" s="22" t="s">
        <v>59</v>
      </c>
      <c r="C7" s="22">
        <v>47</v>
      </c>
      <c r="D7" s="22">
        <v>47</v>
      </c>
      <c r="E7" s="22">
        <v>51</v>
      </c>
      <c r="F7" s="23">
        <f t="shared" si="0"/>
        <v>48.3</v>
      </c>
      <c r="G7" s="24">
        <v>94.1</v>
      </c>
      <c r="H7" s="22" t="str">
        <f t="shared" si="1"/>
        <v>FAIL</v>
      </c>
      <c r="I7" s="22" t="str">
        <f t="shared" si="2"/>
        <v>PASS</v>
      </c>
      <c r="J7" s="22" t="str">
        <f t="shared" si="3"/>
        <v>YELLOW - Single Risk</v>
      </c>
      <c r="R7">
        <f t="shared" si="4"/>
        <v>94.100005999999993</v>
      </c>
    </row>
    <row r="8" spans="1:18" ht="15" customHeight="1" x14ac:dyDescent="0.3">
      <c r="A8" s="22" t="s">
        <v>60</v>
      </c>
      <c r="B8" s="22" t="s">
        <v>61</v>
      </c>
      <c r="C8" s="22">
        <v>82</v>
      </c>
      <c r="D8" s="22">
        <v>82</v>
      </c>
      <c r="E8" s="22">
        <v>86</v>
      </c>
      <c r="F8" s="23">
        <f t="shared" si="0"/>
        <v>83.3</v>
      </c>
      <c r="G8" s="24">
        <v>79</v>
      </c>
      <c r="H8" s="22" t="str">
        <f t="shared" si="1"/>
        <v>PASS</v>
      </c>
      <c r="I8" s="22" t="str">
        <f t="shared" si="2"/>
        <v>PASS</v>
      </c>
      <c r="J8" s="22" t="str">
        <f t="shared" si="3"/>
        <v>GREEN - Satisfactory</v>
      </c>
      <c r="R8">
        <f t="shared" si="4"/>
        <v>79.000006999999997</v>
      </c>
    </row>
    <row r="9" spans="1:18" ht="15" customHeight="1" x14ac:dyDescent="0.3">
      <c r="A9" s="22" t="s">
        <v>62</v>
      </c>
      <c r="B9" s="22" t="s">
        <v>63</v>
      </c>
      <c r="C9" s="22">
        <v>95</v>
      </c>
      <c r="D9" s="22">
        <v>82</v>
      </c>
      <c r="E9" s="22">
        <v>82</v>
      </c>
      <c r="F9" s="23">
        <f t="shared" si="0"/>
        <v>86.3</v>
      </c>
      <c r="G9" s="24">
        <v>77.8</v>
      </c>
      <c r="H9" s="22" t="str">
        <f t="shared" si="1"/>
        <v>PASS</v>
      </c>
      <c r="I9" s="22" t="str">
        <f t="shared" si="2"/>
        <v>PASS</v>
      </c>
      <c r="J9" s="22" t="str">
        <f t="shared" si="3"/>
        <v>GREEN - Satisfactory</v>
      </c>
      <c r="R9">
        <f t="shared" si="4"/>
        <v>77.800007999999991</v>
      </c>
    </row>
    <row r="10" spans="1:18" ht="15" customHeight="1" x14ac:dyDescent="0.3">
      <c r="A10" s="22" t="s">
        <v>64</v>
      </c>
      <c r="B10" s="22" t="s">
        <v>65</v>
      </c>
      <c r="C10" s="22">
        <v>72</v>
      </c>
      <c r="D10" s="22">
        <v>97</v>
      </c>
      <c r="E10" s="22">
        <v>80</v>
      </c>
      <c r="F10" s="23">
        <f t="shared" si="0"/>
        <v>83</v>
      </c>
      <c r="G10" s="24">
        <v>75.400000000000006</v>
      </c>
      <c r="H10" s="22" t="str">
        <f t="shared" si="1"/>
        <v>PASS</v>
      </c>
      <c r="I10" s="22" t="str">
        <f t="shared" si="2"/>
        <v>PASS</v>
      </c>
      <c r="J10" s="22" t="str">
        <f t="shared" si="3"/>
        <v>GREEN - Satisfactory</v>
      </c>
      <c r="R10">
        <f t="shared" si="4"/>
        <v>75.400009000000011</v>
      </c>
    </row>
    <row r="11" spans="1:18" ht="15" customHeight="1" x14ac:dyDescent="0.3">
      <c r="A11" s="22" t="s">
        <v>66</v>
      </c>
      <c r="B11" s="22" t="s">
        <v>67</v>
      </c>
      <c r="C11" s="22">
        <v>92</v>
      </c>
      <c r="D11" s="22">
        <v>84</v>
      </c>
      <c r="E11" s="22">
        <v>96</v>
      </c>
      <c r="F11" s="23">
        <f t="shared" si="0"/>
        <v>90.7</v>
      </c>
      <c r="G11" s="24">
        <v>99.5</v>
      </c>
      <c r="H11" s="22" t="str">
        <f t="shared" si="1"/>
        <v>PASS</v>
      </c>
      <c r="I11" s="22" t="str">
        <f t="shared" si="2"/>
        <v>PASS</v>
      </c>
      <c r="J11" s="22" t="str">
        <f t="shared" si="3"/>
        <v>GREEN - Satisfactory</v>
      </c>
      <c r="R11">
        <f t="shared" si="4"/>
        <v>99.500010000000003</v>
      </c>
    </row>
    <row r="12" spans="1:18" ht="15" customHeight="1" x14ac:dyDescent="0.3">
      <c r="A12" s="22" t="s">
        <v>68</v>
      </c>
      <c r="B12" s="22" t="s">
        <v>69</v>
      </c>
      <c r="C12" s="22">
        <v>31</v>
      </c>
      <c r="D12" s="22">
        <v>37</v>
      </c>
      <c r="E12" s="22">
        <v>57</v>
      </c>
      <c r="F12" s="23">
        <f t="shared" si="0"/>
        <v>41.7</v>
      </c>
      <c r="G12" s="24">
        <v>65.599999999999994</v>
      </c>
      <c r="H12" s="22" t="str">
        <f t="shared" si="1"/>
        <v>FAIL</v>
      </c>
      <c r="I12" s="22" t="str">
        <f t="shared" si="2"/>
        <v>FAIL</v>
      </c>
      <c r="J12" s="22" t="str">
        <f t="shared" si="3"/>
        <v>RED - Dual Risk</v>
      </c>
      <c r="R12">
        <f t="shared" si="4"/>
        <v>65.600010999999995</v>
      </c>
    </row>
    <row r="13" spans="1:18" ht="15" customHeight="1" x14ac:dyDescent="0.3">
      <c r="A13" s="22" t="s">
        <v>70</v>
      </c>
      <c r="B13" s="22" t="s">
        <v>71</v>
      </c>
      <c r="C13" s="22">
        <v>76</v>
      </c>
      <c r="D13" s="22">
        <v>98</v>
      </c>
      <c r="E13" s="22">
        <v>91</v>
      </c>
      <c r="F13" s="23">
        <f t="shared" si="0"/>
        <v>88.3</v>
      </c>
      <c r="G13" s="24">
        <v>99</v>
      </c>
      <c r="H13" s="22" t="str">
        <f t="shared" si="1"/>
        <v>PASS</v>
      </c>
      <c r="I13" s="22" t="str">
        <f t="shared" si="2"/>
        <v>PASS</v>
      </c>
      <c r="J13" s="22" t="str">
        <f t="shared" si="3"/>
        <v>GREEN - Satisfactory</v>
      </c>
      <c r="R13">
        <f t="shared" si="4"/>
        <v>99.000011999999998</v>
      </c>
    </row>
    <row r="14" spans="1:18" ht="15" customHeight="1" x14ac:dyDescent="0.3">
      <c r="A14" s="22" t="s">
        <v>72</v>
      </c>
      <c r="B14" s="22" t="s">
        <v>73</v>
      </c>
      <c r="C14" s="22">
        <v>79</v>
      </c>
      <c r="D14" s="22">
        <v>68</v>
      </c>
      <c r="E14" s="22">
        <v>95</v>
      </c>
      <c r="F14" s="23">
        <f t="shared" si="0"/>
        <v>80.7</v>
      </c>
      <c r="G14" s="24">
        <v>46.3</v>
      </c>
      <c r="H14" s="22" t="str">
        <f t="shared" si="1"/>
        <v>PASS</v>
      </c>
      <c r="I14" s="22" t="str">
        <f t="shared" si="2"/>
        <v>FAIL</v>
      </c>
      <c r="J14" s="22" t="str">
        <f t="shared" si="3"/>
        <v>YELLOW - Single Risk</v>
      </c>
      <c r="R14">
        <f t="shared" si="4"/>
        <v>46.300013</v>
      </c>
    </row>
    <row r="15" spans="1:18" ht="15" customHeight="1" x14ac:dyDescent="0.3">
      <c r="A15" s="22" t="s">
        <v>74</v>
      </c>
      <c r="B15" s="22" t="s">
        <v>75</v>
      </c>
      <c r="C15" s="22">
        <v>95</v>
      </c>
      <c r="D15" s="22">
        <v>89</v>
      </c>
      <c r="E15" s="22">
        <v>68</v>
      </c>
      <c r="F15" s="23">
        <f t="shared" si="0"/>
        <v>84</v>
      </c>
      <c r="G15" s="24">
        <v>55</v>
      </c>
      <c r="H15" s="22" t="str">
        <f t="shared" si="1"/>
        <v>PASS</v>
      </c>
      <c r="I15" s="22" t="str">
        <f t="shared" si="2"/>
        <v>FAIL</v>
      </c>
      <c r="J15" s="22" t="str">
        <f t="shared" si="3"/>
        <v>YELLOW - Single Risk</v>
      </c>
      <c r="R15">
        <f t="shared" si="4"/>
        <v>55.000014</v>
      </c>
    </row>
    <row r="16" spans="1:18" ht="15" customHeight="1" x14ac:dyDescent="0.3">
      <c r="A16" s="22" t="s">
        <v>76</v>
      </c>
      <c r="B16" s="22" t="s">
        <v>77</v>
      </c>
      <c r="C16" s="22">
        <v>60</v>
      </c>
      <c r="D16" s="22">
        <v>71</v>
      </c>
      <c r="E16" s="22">
        <v>82</v>
      </c>
      <c r="F16" s="23">
        <f t="shared" si="0"/>
        <v>71</v>
      </c>
      <c r="G16" s="24">
        <v>93.1</v>
      </c>
      <c r="H16" s="22" t="str">
        <f t="shared" si="1"/>
        <v>PASS</v>
      </c>
      <c r="I16" s="22" t="str">
        <f t="shared" si="2"/>
        <v>PASS</v>
      </c>
      <c r="J16" s="22" t="str">
        <f t="shared" si="3"/>
        <v>GREEN - Satisfactory</v>
      </c>
      <c r="R16">
        <f t="shared" si="4"/>
        <v>93.100014999999999</v>
      </c>
    </row>
    <row r="17" spans="1:18" ht="15" customHeight="1" x14ac:dyDescent="0.3">
      <c r="A17" s="22" t="s">
        <v>78</v>
      </c>
      <c r="B17" s="22" t="s">
        <v>79</v>
      </c>
      <c r="C17" s="22">
        <v>88</v>
      </c>
      <c r="D17" s="22">
        <v>89</v>
      </c>
      <c r="E17" s="22">
        <v>98</v>
      </c>
      <c r="F17" s="23">
        <f t="shared" si="0"/>
        <v>91.7</v>
      </c>
      <c r="G17" s="24">
        <v>78.400000000000006</v>
      </c>
      <c r="H17" s="22" t="str">
        <f t="shared" si="1"/>
        <v>PASS</v>
      </c>
      <c r="I17" s="22" t="str">
        <f t="shared" si="2"/>
        <v>PASS</v>
      </c>
      <c r="J17" s="22" t="str">
        <f t="shared" si="3"/>
        <v>GREEN - Satisfactory</v>
      </c>
      <c r="R17">
        <f t="shared" si="4"/>
        <v>78.400016000000008</v>
      </c>
    </row>
    <row r="18" spans="1:18" ht="15" customHeight="1" x14ac:dyDescent="0.3">
      <c r="A18" s="22" t="s">
        <v>80</v>
      </c>
      <c r="B18" s="22" t="s">
        <v>81</v>
      </c>
      <c r="C18" s="22">
        <v>91</v>
      </c>
      <c r="D18" s="22">
        <v>66</v>
      </c>
      <c r="E18" s="22">
        <v>72</v>
      </c>
      <c r="F18" s="23">
        <f t="shared" si="0"/>
        <v>76.3</v>
      </c>
      <c r="G18" s="24">
        <v>89.1</v>
      </c>
      <c r="H18" s="22" t="str">
        <f t="shared" si="1"/>
        <v>PASS</v>
      </c>
      <c r="I18" s="22" t="str">
        <f t="shared" si="2"/>
        <v>PASS</v>
      </c>
      <c r="J18" s="22" t="str">
        <f t="shared" si="3"/>
        <v>GREEN - Satisfactory</v>
      </c>
      <c r="R18">
        <f t="shared" si="4"/>
        <v>89.100016999999994</v>
      </c>
    </row>
    <row r="19" spans="1:18" ht="15" customHeight="1" x14ac:dyDescent="0.3">
      <c r="A19" s="22" t="s">
        <v>82</v>
      </c>
      <c r="B19" s="22" t="s">
        <v>83</v>
      </c>
      <c r="C19" s="22">
        <v>40</v>
      </c>
      <c r="D19" s="22">
        <v>55</v>
      </c>
      <c r="E19" s="22">
        <v>35</v>
      </c>
      <c r="F19" s="23">
        <f t="shared" si="0"/>
        <v>43.3</v>
      </c>
      <c r="G19" s="24">
        <v>97.1</v>
      </c>
      <c r="H19" s="22" t="str">
        <f t="shared" si="1"/>
        <v>FAIL</v>
      </c>
      <c r="I19" s="22" t="str">
        <f t="shared" si="2"/>
        <v>PASS</v>
      </c>
      <c r="J19" s="22" t="str">
        <f t="shared" si="3"/>
        <v>YELLOW - Single Risk</v>
      </c>
      <c r="R19">
        <f t="shared" si="4"/>
        <v>97.100017999999992</v>
      </c>
    </row>
    <row r="20" spans="1:18" ht="15" customHeight="1" x14ac:dyDescent="0.3">
      <c r="A20" s="22" t="s">
        <v>84</v>
      </c>
      <c r="B20" s="22" t="s">
        <v>85</v>
      </c>
      <c r="C20" s="22">
        <v>53</v>
      </c>
      <c r="D20" s="22">
        <v>48</v>
      </c>
      <c r="E20" s="22">
        <v>55</v>
      </c>
      <c r="F20" s="23">
        <f t="shared" si="0"/>
        <v>52</v>
      </c>
      <c r="G20" s="24">
        <v>72.7</v>
      </c>
      <c r="H20" s="22" t="str">
        <f t="shared" si="1"/>
        <v>FAIL</v>
      </c>
      <c r="I20" s="22" t="str">
        <f t="shared" si="2"/>
        <v>FAIL</v>
      </c>
      <c r="J20" s="22" t="str">
        <f t="shared" si="3"/>
        <v>RED - Dual Risk</v>
      </c>
      <c r="R20">
        <f t="shared" si="4"/>
        <v>72.700018999999998</v>
      </c>
    </row>
    <row r="21" spans="1:18" ht="15" customHeight="1" x14ac:dyDescent="0.3">
      <c r="A21" s="22" t="s">
        <v>86</v>
      </c>
      <c r="B21" s="22" t="s">
        <v>87</v>
      </c>
      <c r="C21" s="22">
        <v>50</v>
      </c>
      <c r="D21" s="22">
        <v>47</v>
      </c>
      <c r="E21" s="22">
        <v>35</v>
      </c>
      <c r="F21" s="23">
        <f t="shared" si="0"/>
        <v>44</v>
      </c>
      <c r="G21" s="24">
        <v>84.2</v>
      </c>
      <c r="H21" s="22" t="str">
        <f t="shared" si="1"/>
        <v>FAIL</v>
      </c>
      <c r="I21" s="22" t="str">
        <f t="shared" si="2"/>
        <v>PASS</v>
      </c>
      <c r="J21" s="22" t="str">
        <f t="shared" si="3"/>
        <v>YELLOW - Single Risk</v>
      </c>
      <c r="R21">
        <f t="shared" si="4"/>
        <v>84.200020000000009</v>
      </c>
    </row>
    <row r="22" spans="1:18" ht="15" customHeight="1" x14ac:dyDescent="0.3">
      <c r="A22" s="22" t="s">
        <v>88</v>
      </c>
      <c r="B22" s="22" t="s">
        <v>89</v>
      </c>
      <c r="C22" s="22">
        <v>44</v>
      </c>
      <c r="D22" s="22">
        <v>49</v>
      </c>
      <c r="E22" s="22">
        <v>49</v>
      </c>
      <c r="F22" s="23">
        <f t="shared" si="0"/>
        <v>47.3</v>
      </c>
      <c r="G22" s="24">
        <v>67.400000000000006</v>
      </c>
      <c r="H22" s="22" t="str">
        <f t="shared" si="1"/>
        <v>FAIL</v>
      </c>
      <c r="I22" s="22" t="str">
        <f t="shared" si="2"/>
        <v>FAIL</v>
      </c>
      <c r="J22" s="22" t="str">
        <f t="shared" si="3"/>
        <v>RED - Dual Risk</v>
      </c>
      <c r="R22">
        <f t="shared" si="4"/>
        <v>67.40002100000001</v>
      </c>
    </row>
    <row r="23" spans="1:18" ht="15" customHeight="1" x14ac:dyDescent="0.3">
      <c r="A23" s="22" t="s">
        <v>90</v>
      </c>
      <c r="B23" s="22" t="s">
        <v>91</v>
      </c>
      <c r="C23" s="22">
        <v>73</v>
      </c>
      <c r="D23" s="22">
        <v>86</v>
      </c>
      <c r="E23" s="22">
        <v>89</v>
      </c>
      <c r="F23" s="23">
        <f t="shared" si="0"/>
        <v>82.7</v>
      </c>
      <c r="G23" s="24">
        <v>72.7</v>
      </c>
      <c r="H23" s="22" t="str">
        <f t="shared" si="1"/>
        <v>PASS</v>
      </c>
      <c r="I23" s="22" t="str">
        <f t="shared" si="2"/>
        <v>FAIL</v>
      </c>
      <c r="J23" s="22" t="str">
        <f t="shared" si="3"/>
        <v>YELLOW - Single Risk</v>
      </c>
      <c r="R23">
        <f t="shared" si="4"/>
        <v>72.700022000000004</v>
      </c>
    </row>
    <row r="24" spans="1:18" ht="15" customHeight="1" x14ac:dyDescent="0.3">
      <c r="A24" s="22" t="s">
        <v>92</v>
      </c>
      <c r="B24" s="22" t="s">
        <v>93</v>
      </c>
      <c r="C24" s="22">
        <v>94</v>
      </c>
      <c r="D24" s="22">
        <v>76</v>
      </c>
      <c r="E24" s="22">
        <v>87</v>
      </c>
      <c r="F24" s="23">
        <f t="shared" si="0"/>
        <v>85.7</v>
      </c>
      <c r="G24" s="24">
        <v>57</v>
      </c>
      <c r="H24" s="22" t="str">
        <f t="shared" si="1"/>
        <v>PASS</v>
      </c>
      <c r="I24" s="22" t="str">
        <f t="shared" si="2"/>
        <v>FAIL</v>
      </c>
      <c r="J24" s="22" t="str">
        <f t="shared" si="3"/>
        <v>YELLOW - Single Risk</v>
      </c>
      <c r="R24">
        <f t="shared" si="4"/>
        <v>57.000022999999999</v>
      </c>
    </row>
    <row r="25" spans="1:18" ht="15" customHeight="1" x14ac:dyDescent="0.3">
      <c r="A25" s="22" t="s">
        <v>94</v>
      </c>
      <c r="B25" s="22" t="s">
        <v>95</v>
      </c>
      <c r="C25" s="22">
        <v>74</v>
      </c>
      <c r="D25" s="22">
        <v>90</v>
      </c>
      <c r="E25" s="22">
        <v>98</v>
      </c>
      <c r="F25" s="23">
        <f t="shared" si="0"/>
        <v>87.3</v>
      </c>
      <c r="G25" s="24">
        <v>45.9</v>
      </c>
      <c r="H25" s="22" t="str">
        <f t="shared" si="1"/>
        <v>PASS</v>
      </c>
      <c r="I25" s="22" t="str">
        <f t="shared" si="2"/>
        <v>FAIL</v>
      </c>
      <c r="J25" s="22" t="str">
        <f t="shared" si="3"/>
        <v>YELLOW - Single Risk</v>
      </c>
      <c r="R25">
        <f t="shared" si="4"/>
        <v>45.900024000000002</v>
      </c>
    </row>
    <row r="26" spans="1:18" ht="15" customHeight="1" x14ac:dyDescent="0.3">
      <c r="A26" s="22" t="s">
        <v>96</v>
      </c>
      <c r="B26" s="22" t="s">
        <v>97</v>
      </c>
      <c r="C26" s="22">
        <v>42</v>
      </c>
      <c r="D26" s="22">
        <v>49</v>
      </c>
      <c r="E26" s="22">
        <v>50</v>
      </c>
      <c r="F26" s="23">
        <f t="shared" si="0"/>
        <v>47</v>
      </c>
      <c r="G26" s="24">
        <v>90.5</v>
      </c>
      <c r="H26" s="22" t="str">
        <f t="shared" si="1"/>
        <v>FAIL</v>
      </c>
      <c r="I26" s="22" t="str">
        <f t="shared" si="2"/>
        <v>PASS</v>
      </c>
      <c r="J26" s="22" t="str">
        <f t="shared" si="3"/>
        <v>YELLOW - Single Risk</v>
      </c>
      <c r="R26">
        <f t="shared" si="4"/>
        <v>90.500024999999994</v>
      </c>
    </row>
    <row r="27" spans="1:18" ht="15" customHeight="1" x14ac:dyDescent="0.3">
      <c r="A27" s="22" t="s">
        <v>98</v>
      </c>
      <c r="B27" s="22" t="s">
        <v>99</v>
      </c>
      <c r="C27" s="22">
        <v>42</v>
      </c>
      <c r="D27" s="22">
        <v>37</v>
      </c>
      <c r="E27" s="22">
        <v>52</v>
      </c>
      <c r="F27" s="23">
        <f t="shared" si="0"/>
        <v>43.7</v>
      </c>
      <c r="G27" s="24">
        <v>80.2</v>
      </c>
      <c r="H27" s="22" t="str">
        <f t="shared" si="1"/>
        <v>FAIL</v>
      </c>
      <c r="I27" s="22" t="str">
        <f t="shared" si="2"/>
        <v>PASS</v>
      </c>
      <c r="J27" s="22" t="str">
        <f t="shared" si="3"/>
        <v>YELLOW - Single Risk</v>
      </c>
      <c r="R27">
        <f t="shared" si="4"/>
        <v>80.200026000000008</v>
      </c>
    </row>
    <row r="28" spans="1:18" ht="15" customHeight="1" x14ac:dyDescent="0.3">
      <c r="A28" s="22" t="s">
        <v>100</v>
      </c>
      <c r="B28" s="22" t="s">
        <v>101</v>
      </c>
      <c r="C28" s="22">
        <v>29</v>
      </c>
      <c r="D28" s="22">
        <v>41</v>
      </c>
      <c r="E28" s="22">
        <v>58</v>
      </c>
      <c r="F28" s="23">
        <f t="shared" si="0"/>
        <v>42.7</v>
      </c>
      <c r="G28" s="24">
        <v>72.099999999999994</v>
      </c>
      <c r="H28" s="22" t="str">
        <f t="shared" si="1"/>
        <v>FAIL</v>
      </c>
      <c r="I28" s="22" t="str">
        <f t="shared" si="2"/>
        <v>FAIL</v>
      </c>
      <c r="J28" s="22" t="str">
        <f t="shared" si="3"/>
        <v>RED - Dual Risk</v>
      </c>
      <c r="R28">
        <f t="shared" si="4"/>
        <v>72.100026999999997</v>
      </c>
    </row>
    <row r="29" spans="1:18" ht="15" customHeight="1" x14ac:dyDescent="0.3">
      <c r="A29" s="22" t="s">
        <v>102</v>
      </c>
      <c r="B29" s="22" t="s">
        <v>103</v>
      </c>
      <c r="C29" s="22">
        <v>80</v>
      </c>
      <c r="D29" s="22">
        <v>92</v>
      </c>
      <c r="E29" s="22">
        <v>100</v>
      </c>
      <c r="F29" s="23">
        <f t="shared" si="0"/>
        <v>90.7</v>
      </c>
      <c r="G29" s="24">
        <v>96.8</v>
      </c>
      <c r="H29" s="22" t="str">
        <f t="shared" si="1"/>
        <v>PASS</v>
      </c>
      <c r="I29" s="22" t="str">
        <f t="shared" si="2"/>
        <v>PASS</v>
      </c>
      <c r="J29" s="22" t="str">
        <f t="shared" si="3"/>
        <v>GREEN - Satisfactory</v>
      </c>
      <c r="R29">
        <f t="shared" si="4"/>
        <v>96.800027999999998</v>
      </c>
    </row>
    <row r="30" spans="1:18" ht="15" customHeight="1" x14ac:dyDescent="0.3">
      <c r="A30" s="22" t="s">
        <v>104</v>
      </c>
      <c r="B30" s="22" t="s">
        <v>105</v>
      </c>
      <c r="C30" s="22">
        <v>57</v>
      </c>
      <c r="D30" s="22">
        <v>54</v>
      </c>
      <c r="E30" s="22">
        <v>51</v>
      </c>
      <c r="F30" s="23">
        <f t="shared" si="0"/>
        <v>54</v>
      </c>
      <c r="G30" s="24">
        <v>91</v>
      </c>
      <c r="H30" s="22" t="str">
        <f t="shared" si="1"/>
        <v>FAIL</v>
      </c>
      <c r="I30" s="22" t="str">
        <f t="shared" si="2"/>
        <v>PASS</v>
      </c>
      <c r="J30" s="22" t="str">
        <f t="shared" si="3"/>
        <v>YELLOW - Single Risk</v>
      </c>
      <c r="R30">
        <f t="shared" si="4"/>
        <v>91.000028999999998</v>
      </c>
    </row>
    <row r="31" spans="1:18" ht="15" customHeight="1" x14ac:dyDescent="0.3">
      <c r="A31" s="22" t="s">
        <v>106</v>
      </c>
      <c r="B31" s="22" t="s">
        <v>107</v>
      </c>
      <c r="C31" s="22">
        <v>85</v>
      </c>
      <c r="D31" s="22">
        <v>96</v>
      </c>
      <c r="E31" s="22">
        <v>91</v>
      </c>
      <c r="F31" s="23">
        <f t="shared" si="0"/>
        <v>90.7</v>
      </c>
      <c r="G31" s="24">
        <v>98.5</v>
      </c>
      <c r="H31" s="22" t="str">
        <f t="shared" si="1"/>
        <v>PASS</v>
      </c>
      <c r="I31" s="22" t="str">
        <f t="shared" si="2"/>
        <v>PASS</v>
      </c>
      <c r="J31" s="22" t="str">
        <f t="shared" si="3"/>
        <v>GREEN - Satisfactory</v>
      </c>
      <c r="R31">
        <f t="shared" si="4"/>
        <v>98.500029999999995</v>
      </c>
    </row>
    <row r="32" spans="1:18" ht="15" customHeight="1" x14ac:dyDescent="0.3">
      <c r="A32" s="22" t="s">
        <v>108</v>
      </c>
      <c r="B32" s="22" t="s">
        <v>109</v>
      </c>
      <c r="C32" s="22">
        <v>79</v>
      </c>
      <c r="D32" s="22">
        <v>69</v>
      </c>
      <c r="E32" s="22">
        <v>75</v>
      </c>
      <c r="F32" s="23">
        <f t="shared" si="0"/>
        <v>74.3</v>
      </c>
      <c r="G32" s="24">
        <v>79.8</v>
      </c>
      <c r="H32" s="22" t="str">
        <f t="shared" si="1"/>
        <v>PASS</v>
      </c>
      <c r="I32" s="22" t="str">
        <f t="shared" si="2"/>
        <v>PASS</v>
      </c>
      <c r="J32" s="22" t="str">
        <f t="shared" si="3"/>
        <v>GREEN - Satisfactory</v>
      </c>
      <c r="R32">
        <f t="shared" si="4"/>
        <v>79.800031000000004</v>
      </c>
    </row>
    <row r="33" spans="1:18" ht="15" customHeight="1" x14ac:dyDescent="0.3">
      <c r="A33" s="22" t="s">
        <v>110</v>
      </c>
      <c r="B33" s="22" t="s">
        <v>111</v>
      </c>
      <c r="C33" s="22">
        <v>98</v>
      </c>
      <c r="D33" s="22">
        <v>95</v>
      </c>
      <c r="E33" s="22">
        <v>94</v>
      </c>
      <c r="F33" s="23">
        <f t="shared" si="0"/>
        <v>95.7</v>
      </c>
      <c r="G33" s="24">
        <v>93.4</v>
      </c>
      <c r="H33" s="22" t="str">
        <f t="shared" si="1"/>
        <v>PASS</v>
      </c>
      <c r="I33" s="22" t="str">
        <f t="shared" si="2"/>
        <v>PASS</v>
      </c>
      <c r="J33" s="22" t="str">
        <f t="shared" si="3"/>
        <v>GREEN - Satisfactory</v>
      </c>
      <c r="R33">
        <f t="shared" si="4"/>
        <v>93.40003200000001</v>
      </c>
    </row>
    <row r="34" spans="1:18" ht="15" customHeight="1" x14ac:dyDescent="0.3">
      <c r="A34" s="22" t="s">
        <v>112</v>
      </c>
      <c r="B34" s="22" t="s">
        <v>113</v>
      </c>
      <c r="C34" s="22">
        <v>95</v>
      </c>
      <c r="D34" s="22">
        <v>88</v>
      </c>
      <c r="E34" s="22">
        <v>91</v>
      </c>
      <c r="F34" s="23">
        <f t="shared" ref="F34:F51" si="5">ROUND(AVERAGE(C34:E34),1)</f>
        <v>91.3</v>
      </c>
      <c r="G34" s="24">
        <v>84.6</v>
      </c>
      <c r="H34" s="22" t="str">
        <f t="shared" ref="H34:H51" si="6">IF(F34&lt;60,"FAIL","PASS")</f>
        <v>PASS</v>
      </c>
      <c r="I34" s="22" t="str">
        <f t="shared" ref="I34:I51" si="7">IF(G34&lt;75,"FAIL","PASS")</f>
        <v>PASS</v>
      </c>
      <c r="J34" s="22" t="str">
        <f t="shared" ref="J34:J51" si="8">IF(AND(H34="FAIL",I34="FAIL"),"RED - Dual Risk",IF(OR(H34="FAIL",I34="FAIL"),"YELLOW - Single Risk","GREEN - Satisfactory"))</f>
        <v>GREEN - Satisfactory</v>
      </c>
      <c r="R34">
        <f t="shared" ref="R34:R51" si="9">G34+(ROW()-1)/1000000</f>
        <v>84.600032999999996</v>
      </c>
    </row>
    <row r="35" spans="1:18" ht="15" customHeight="1" x14ac:dyDescent="0.3">
      <c r="A35" s="22" t="s">
        <v>114</v>
      </c>
      <c r="B35" s="22" t="s">
        <v>115</v>
      </c>
      <c r="C35" s="22">
        <v>52</v>
      </c>
      <c r="D35" s="22">
        <v>38</v>
      </c>
      <c r="E35" s="22">
        <v>43</v>
      </c>
      <c r="F35" s="23">
        <f t="shared" si="5"/>
        <v>44.3</v>
      </c>
      <c r="G35" s="24">
        <v>95.5</v>
      </c>
      <c r="H35" s="22" t="str">
        <f t="shared" si="6"/>
        <v>FAIL</v>
      </c>
      <c r="I35" s="22" t="str">
        <f t="shared" si="7"/>
        <v>PASS</v>
      </c>
      <c r="J35" s="22" t="str">
        <f t="shared" si="8"/>
        <v>YELLOW - Single Risk</v>
      </c>
      <c r="R35">
        <f t="shared" si="9"/>
        <v>95.500033999999999</v>
      </c>
    </row>
    <row r="36" spans="1:18" ht="15" customHeight="1" x14ac:dyDescent="0.3">
      <c r="A36" s="22" t="s">
        <v>116</v>
      </c>
      <c r="B36" s="22" t="s">
        <v>117</v>
      </c>
      <c r="C36" s="22">
        <v>75</v>
      </c>
      <c r="D36" s="22">
        <v>100</v>
      </c>
      <c r="E36" s="22">
        <v>79</v>
      </c>
      <c r="F36" s="23">
        <f t="shared" si="5"/>
        <v>84.7</v>
      </c>
      <c r="G36" s="24">
        <v>91.5</v>
      </c>
      <c r="H36" s="22" t="str">
        <f t="shared" si="6"/>
        <v>PASS</v>
      </c>
      <c r="I36" s="22" t="str">
        <f t="shared" si="7"/>
        <v>PASS</v>
      </c>
      <c r="J36" s="22" t="str">
        <f t="shared" si="8"/>
        <v>GREEN - Satisfactory</v>
      </c>
      <c r="R36">
        <f t="shared" si="9"/>
        <v>91.500034999999997</v>
      </c>
    </row>
    <row r="37" spans="1:18" ht="15" customHeight="1" x14ac:dyDescent="0.3">
      <c r="A37" s="22" t="s">
        <v>118</v>
      </c>
      <c r="B37" s="22" t="s">
        <v>119</v>
      </c>
      <c r="C37" s="22">
        <v>95</v>
      </c>
      <c r="D37" s="22">
        <v>67</v>
      </c>
      <c r="E37" s="22">
        <v>99</v>
      </c>
      <c r="F37" s="23">
        <f t="shared" si="5"/>
        <v>87</v>
      </c>
      <c r="G37" s="24">
        <v>63.8</v>
      </c>
      <c r="H37" s="22" t="str">
        <f t="shared" si="6"/>
        <v>PASS</v>
      </c>
      <c r="I37" s="22" t="str">
        <f t="shared" si="7"/>
        <v>FAIL</v>
      </c>
      <c r="J37" s="22" t="str">
        <f t="shared" si="8"/>
        <v>YELLOW - Single Risk</v>
      </c>
      <c r="R37">
        <f t="shared" si="9"/>
        <v>63.800035999999999</v>
      </c>
    </row>
    <row r="38" spans="1:18" ht="15" customHeight="1" x14ac:dyDescent="0.3">
      <c r="A38" s="22" t="s">
        <v>120</v>
      </c>
      <c r="B38" s="22" t="s">
        <v>121</v>
      </c>
      <c r="C38" s="22">
        <v>77</v>
      </c>
      <c r="D38" s="22">
        <v>74</v>
      </c>
      <c r="E38" s="22">
        <v>83</v>
      </c>
      <c r="F38" s="23">
        <f t="shared" si="5"/>
        <v>78</v>
      </c>
      <c r="G38" s="24">
        <v>90.1</v>
      </c>
      <c r="H38" s="22" t="str">
        <f t="shared" si="6"/>
        <v>PASS</v>
      </c>
      <c r="I38" s="22" t="str">
        <f t="shared" si="7"/>
        <v>PASS</v>
      </c>
      <c r="J38" s="22" t="str">
        <f t="shared" si="8"/>
        <v>GREEN - Satisfactory</v>
      </c>
      <c r="R38">
        <f t="shared" si="9"/>
        <v>90.100037</v>
      </c>
    </row>
    <row r="39" spans="1:18" ht="15" customHeight="1" x14ac:dyDescent="0.3">
      <c r="A39" s="22" t="s">
        <v>122</v>
      </c>
      <c r="B39" s="22" t="s">
        <v>123</v>
      </c>
      <c r="C39" s="22">
        <v>47</v>
      </c>
      <c r="D39" s="22">
        <v>42</v>
      </c>
      <c r="E39" s="22">
        <v>32</v>
      </c>
      <c r="F39" s="23">
        <f t="shared" si="5"/>
        <v>40.299999999999997</v>
      </c>
      <c r="G39" s="24">
        <v>43.7</v>
      </c>
      <c r="H39" s="22" t="str">
        <f t="shared" si="6"/>
        <v>FAIL</v>
      </c>
      <c r="I39" s="22" t="str">
        <f t="shared" si="7"/>
        <v>FAIL</v>
      </c>
      <c r="J39" s="22" t="str">
        <f t="shared" si="8"/>
        <v>RED - Dual Risk</v>
      </c>
      <c r="R39">
        <f t="shared" si="9"/>
        <v>43.700038000000006</v>
      </c>
    </row>
    <row r="40" spans="1:18" ht="15" customHeight="1" x14ac:dyDescent="0.3">
      <c r="A40" s="22" t="s">
        <v>124</v>
      </c>
      <c r="B40" s="22" t="s">
        <v>125</v>
      </c>
      <c r="C40" s="22">
        <v>97</v>
      </c>
      <c r="D40" s="22">
        <v>95</v>
      </c>
      <c r="E40" s="22">
        <v>72</v>
      </c>
      <c r="F40" s="23">
        <f t="shared" si="5"/>
        <v>88</v>
      </c>
      <c r="G40" s="24">
        <v>94.7</v>
      </c>
      <c r="H40" s="22" t="str">
        <f t="shared" si="6"/>
        <v>PASS</v>
      </c>
      <c r="I40" s="22" t="str">
        <f t="shared" si="7"/>
        <v>PASS</v>
      </c>
      <c r="J40" s="22" t="str">
        <f t="shared" si="8"/>
        <v>GREEN - Satisfactory</v>
      </c>
      <c r="R40">
        <f t="shared" si="9"/>
        <v>94.700039000000004</v>
      </c>
    </row>
    <row r="41" spans="1:18" ht="15" customHeight="1" x14ac:dyDescent="0.3">
      <c r="A41" s="22" t="s">
        <v>126</v>
      </c>
      <c r="B41" s="22" t="s">
        <v>127</v>
      </c>
      <c r="C41" s="22">
        <v>81</v>
      </c>
      <c r="D41" s="22">
        <v>81</v>
      </c>
      <c r="E41" s="22">
        <v>75</v>
      </c>
      <c r="F41" s="23">
        <f t="shared" si="5"/>
        <v>79</v>
      </c>
      <c r="G41" s="24">
        <v>93.5</v>
      </c>
      <c r="H41" s="22" t="str">
        <f t="shared" si="6"/>
        <v>PASS</v>
      </c>
      <c r="I41" s="22" t="str">
        <f t="shared" si="7"/>
        <v>PASS</v>
      </c>
      <c r="J41" s="22" t="str">
        <f t="shared" si="8"/>
        <v>GREEN - Satisfactory</v>
      </c>
      <c r="R41">
        <f t="shared" si="9"/>
        <v>93.500039999999998</v>
      </c>
    </row>
    <row r="42" spans="1:18" ht="15" customHeight="1" x14ac:dyDescent="0.3">
      <c r="A42" s="22" t="s">
        <v>128</v>
      </c>
      <c r="B42" s="22" t="s">
        <v>129</v>
      </c>
      <c r="C42" s="22">
        <v>97</v>
      </c>
      <c r="D42" s="22">
        <v>73</v>
      </c>
      <c r="E42" s="22">
        <v>74</v>
      </c>
      <c r="F42" s="23">
        <f t="shared" si="5"/>
        <v>81.3</v>
      </c>
      <c r="G42" s="24">
        <v>77.099999999999994</v>
      </c>
      <c r="H42" s="22" t="str">
        <f t="shared" si="6"/>
        <v>PASS</v>
      </c>
      <c r="I42" s="22" t="str">
        <f t="shared" si="7"/>
        <v>PASS</v>
      </c>
      <c r="J42" s="22" t="str">
        <f t="shared" si="8"/>
        <v>GREEN - Satisfactory</v>
      </c>
      <c r="R42">
        <f t="shared" si="9"/>
        <v>77.10004099999999</v>
      </c>
    </row>
    <row r="43" spans="1:18" ht="15" customHeight="1" x14ac:dyDescent="0.3">
      <c r="A43" s="22" t="s">
        <v>130</v>
      </c>
      <c r="B43" s="22" t="s">
        <v>131</v>
      </c>
      <c r="C43" s="22">
        <v>39</v>
      </c>
      <c r="D43" s="22">
        <v>49</v>
      </c>
      <c r="E43" s="22">
        <v>36</v>
      </c>
      <c r="F43" s="23">
        <f t="shared" si="5"/>
        <v>41.3</v>
      </c>
      <c r="G43" s="24">
        <v>62.3</v>
      </c>
      <c r="H43" s="22" t="str">
        <f t="shared" si="6"/>
        <v>FAIL</v>
      </c>
      <c r="I43" s="22" t="str">
        <f t="shared" si="7"/>
        <v>FAIL</v>
      </c>
      <c r="J43" s="22" t="str">
        <f t="shared" si="8"/>
        <v>RED - Dual Risk</v>
      </c>
      <c r="R43">
        <f t="shared" si="9"/>
        <v>62.300041999999998</v>
      </c>
    </row>
    <row r="44" spans="1:18" ht="15" customHeight="1" x14ac:dyDescent="0.3">
      <c r="A44" s="22" t="s">
        <v>132</v>
      </c>
      <c r="B44" s="22" t="s">
        <v>133</v>
      </c>
      <c r="C44" s="22">
        <v>72</v>
      </c>
      <c r="D44" s="22">
        <v>72</v>
      </c>
      <c r="E44" s="22">
        <v>79</v>
      </c>
      <c r="F44" s="23">
        <f t="shared" si="5"/>
        <v>74.3</v>
      </c>
      <c r="G44" s="24">
        <v>46.7</v>
      </c>
      <c r="H44" s="22" t="str">
        <f t="shared" si="6"/>
        <v>PASS</v>
      </c>
      <c r="I44" s="22" t="str">
        <f t="shared" si="7"/>
        <v>FAIL</v>
      </c>
      <c r="J44" s="22" t="str">
        <f t="shared" si="8"/>
        <v>YELLOW - Single Risk</v>
      </c>
      <c r="R44">
        <f t="shared" si="9"/>
        <v>46.700043000000001</v>
      </c>
    </row>
    <row r="45" spans="1:18" ht="15" customHeight="1" x14ac:dyDescent="0.3">
      <c r="A45" s="22" t="s">
        <v>134</v>
      </c>
      <c r="B45" s="22" t="s">
        <v>135</v>
      </c>
      <c r="C45" s="22">
        <v>88</v>
      </c>
      <c r="D45" s="22">
        <v>61</v>
      </c>
      <c r="E45" s="22">
        <v>62</v>
      </c>
      <c r="F45" s="23">
        <f t="shared" si="5"/>
        <v>70.3</v>
      </c>
      <c r="G45" s="24">
        <v>92.3</v>
      </c>
      <c r="H45" s="22" t="str">
        <f t="shared" si="6"/>
        <v>PASS</v>
      </c>
      <c r="I45" s="22" t="str">
        <f t="shared" si="7"/>
        <v>PASS</v>
      </c>
      <c r="J45" s="22" t="str">
        <f t="shared" si="8"/>
        <v>GREEN - Satisfactory</v>
      </c>
      <c r="R45">
        <f t="shared" si="9"/>
        <v>92.300044</v>
      </c>
    </row>
    <row r="46" spans="1:18" ht="15" customHeight="1" x14ac:dyDescent="0.3">
      <c r="A46" s="22" t="s">
        <v>136</v>
      </c>
      <c r="B46" s="22" t="s">
        <v>137</v>
      </c>
      <c r="C46" s="22">
        <v>44</v>
      </c>
      <c r="D46" s="22">
        <v>45</v>
      </c>
      <c r="E46" s="22">
        <v>41</v>
      </c>
      <c r="F46" s="23">
        <f t="shared" si="5"/>
        <v>43.3</v>
      </c>
      <c r="G46" s="24">
        <v>78.5</v>
      </c>
      <c r="H46" s="22" t="str">
        <f t="shared" si="6"/>
        <v>FAIL</v>
      </c>
      <c r="I46" s="22" t="str">
        <f t="shared" si="7"/>
        <v>PASS</v>
      </c>
      <c r="J46" s="22" t="str">
        <f t="shared" si="8"/>
        <v>YELLOW - Single Risk</v>
      </c>
      <c r="R46">
        <f t="shared" si="9"/>
        <v>78.500045</v>
      </c>
    </row>
    <row r="47" spans="1:18" ht="15" customHeight="1" x14ac:dyDescent="0.3">
      <c r="A47" s="22" t="s">
        <v>138</v>
      </c>
      <c r="B47" s="22" t="s">
        <v>139</v>
      </c>
      <c r="C47" s="22">
        <v>69</v>
      </c>
      <c r="D47" s="22">
        <v>85</v>
      </c>
      <c r="E47" s="22">
        <v>60</v>
      </c>
      <c r="F47" s="23">
        <f t="shared" si="5"/>
        <v>71.3</v>
      </c>
      <c r="G47" s="24">
        <v>40.700000000000003</v>
      </c>
      <c r="H47" s="22" t="str">
        <f t="shared" si="6"/>
        <v>PASS</v>
      </c>
      <c r="I47" s="22" t="str">
        <f t="shared" si="7"/>
        <v>FAIL</v>
      </c>
      <c r="J47" s="22" t="str">
        <f t="shared" si="8"/>
        <v>YELLOW - Single Risk</v>
      </c>
      <c r="R47">
        <f t="shared" si="9"/>
        <v>40.700046</v>
      </c>
    </row>
    <row r="48" spans="1:18" ht="15" customHeight="1" x14ac:dyDescent="0.3">
      <c r="A48" s="22" t="s">
        <v>140</v>
      </c>
      <c r="B48" s="22" t="s">
        <v>141</v>
      </c>
      <c r="C48" s="22">
        <v>79</v>
      </c>
      <c r="D48" s="22">
        <v>85</v>
      </c>
      <c r="E48" s="22">
        <v>80</v>
      </c>
      <c r="F48" s="23">
        <f t="shared" si="5"/>
        <v>81.3</v>
      </c>
      <c r="G48" s="24">
        <v>78.5</v>
      </c>
      <c r="H48" s="22" t="str">
        <f t="shared" si="6"/>
        <v>PASS</v>
      </c>
      <c r="I48" s="22" t="str">
        <f t="shared" si="7"/>
        <v>PASS</v>
      </c>
      <c r="J48" s="22" t="str">
        <f t="shared" si="8"/>
        <v>GREEN - Satisfactory</v>
      </c>
      <c r="R48">
        <f t="shared" si="9"/>
        <v>78.500046999999995</v>
      </c>
    </row>
    <row r="49" spans="1:18" ht="15" customHeight="1" x14ac:dyDescent="0.3">
      <c r="A49" s="22" t="s">
        <v>142</v>
      </c>
      <c r="B49" s="22" t="s">
        <v>143</v>
      </c>
      <c r="C49" s="22">
        <v>64</v>
      </c>
      <c r="D49" s="22">
        <v>84</v>
      </c>
      <c r="E49" s="22">
        <v>63</v>
      </c>
      <c r="F49" s="23">
        <f t="shared" si="5"/>
        <v>70.3</v>
      </c>
      <c r="G49" s="24">
        <v>91.5</v>
      </c>
      <c r="H49" s="22" t="str">
        <f t="shared" si="6"/>
        <v>PASS</v>
      </c>
      <c r="I49" s="22" t="str">
        <f t="shared" si="7"/>
        <v>PASS</v>
      </c>
      <c r="J49" s="22" t="str">
        <f t="shared" si="8"/>
        <v>GREEN - Satisfactory</v>
      </c>
      <c r="R49">
        <f t="shared" si="9"/>
        <v>91.500048000000007</v>
      </c>
    </row>
    <row r="50" spans="1:18" ht="15" customHeight="1" x14ac:dyDescent="0.3">
      <c r="A50" s="22" t="s">
        <v>144</v>
      </c>
      <c r="B50" s="22" t="s">
        <v>145</v>
      </c>
      <c r="C50" s="22">
        <v>88</v>
      </c>
      <c r="D50" s="22">
        <v>83</v>
      </c>
      <c r="E50" s="22">
        <v>68</v>
      </c>
      <c r="F50" s="23">
        <f t="shared" si="5"/>
        <v>79.7</v>
      </c>
      <c r="G50" s="24">
        <v>72</v>
      </c>
      <c r="H50" s="22" t="str">
        <f t="shared" si="6"/>
        <v>PASS</v>
      </c>
      <c r="I50" s="22" t="str">
        <f t="shared" si="7"/>
        <v>FAIL</v>
      </c>
      <c r="J50" s="22" t="str">
        <f t="shared" si="8"/>
        <v>YELLOW - Single Risk</v>
      </c>
      <c r="R50">
        <f t="shared" si="9"/>
        <v>72.000049000000004</v>
      </c>
    </row>
    <row r="51" spans="1:18" ht="15" customHeight="1" x14ac:dyDescent="0.3">
      <c r="A51" s="22" t="s">
        <v>146</v>
      </c>
      <c r="B51" s="22" t="s">
        <v>147</v>
      </c>
      <c r="C51" s="22">
        <v>76</v>
      </c>
      <c r="D51" s="22">
        <v>95</v>
      </c>
      <c r="E51" s="22">
        <v>87</v>
      </c>
      <c r="F51" s="23">
        <f t="shared" si="5"/>
        <v>86</v>
      </c>
      <c r="G51" s="24">
        <v>83.1</v>
      </c>
      <c r="H51" s="22" t="str">
        <f t="shared" si="6"/>
        <v>PASS</v>
      </c>
      <c r="I51" s="22" t="str">
        <f t="shared" si="7"/>
        <v>PASS</v>
      </c>
      <c r="J51" s="22" t="str">
        <f t="shared" si="8"/>
        <v>GREEN - Satisfactory</v>
      </c>
      <c r="R51">
        <f t="shared" si="9"/>
        <v>83.100049999999996</v>
      </c>
    </row>
  </sheetData>
  <conditionalFormatting sqref="J2:J51">
    <cfRule type="expression" dxfId="2" priority="2">
      <formula>LEFT(J2,3)="RED"</formula>
    </cfRule>
    <cfRule type="expression" dxfId="1" priority="3">
      <formula>LEFT(J2,6)="YELLOW"</formula>
    </cfRule>
    <cfRule type="expression" dxfId="0" priority="4">
      <formula>LEFT(J2,5)="GREEN"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6"/>
  <sheetViews>
    <sheetView zoomScaleNormal="100" workbookViewId="0">
      <selection activeCell="D13" sqref="D13"/>
    </sheetView>
  </sheetViews>
  <sheetFormatPr defaultColWidth="8.6640625" defaultRowHeight="14.4" x14ac:dyDescent="0.3"/>
  <cols>
    <col min="1" max="1" width="92" customWidth="1"/>
  </cols>
  <sheetData>
    <row r="1" spans="1:1" ht="17.25" customHeight="1" x14ac:dyDescent="0.3">
      <c r="A1" s="25" t="s">
        <v>149</v>
      </c>
    </row>
    <row r="2" spans="1:1" ht="15" customHeight="1" x14ac:dyDescent="0.3">
      <c r="A2" s="26"/>
    </row>
    <row r="3" spans="1:1" ht="15" customHeight="1" x14ac:dyDescent="0.3">
      <c r="A3" s="28" t="s">
        <v>152</v>
      </c>
    </row>
    <row r="4" spans="1:1" ht="15" customHeight="1" x14ac:dyDescent="0.3">
      <c r="A4" s="26"/>
    </row>
    <row r="5" spans="1:1" ht="15" customHeight="1" x14ac:dyDescent="0.3">
      <c r="A5" s="26" t="s">
        <v>148</v>
      </c>
    </row>
    <row r="6" spans="1:1" ht="15" customHeight="1" x14ac:dyDescent="0.3">
      <c r="A6" s="26"/>
    </row>
    <row r="7" spans="1:1" ht="15" customHeight="1" x14ac:dyDescent="0.3">
      <c r="A7" s="26" t="s">
        <v>153</v>
      </c>
    </row>
    <row r="8" spans="1:1" ht="15" customHeight="1" x14ac:dyDescent="0.3">
      <c r="A8" s="26" t="s">
        <v>154</v>
      </c>
    </row>
    <row r="9" spans="1:1" ht="15" customHeight="1" x14ac:dyDescent="0.3">
      <c r="A9" s="26" t="s">
        <v>155</v>
      </c>
    </row>
    <row r="10" spans="1:1" ht="15" customHeight="1" x14ac:dyDescent="0.3">
      <c r="A10" s="26"/>
    </row>
    <row r="11" spans="1:1" ht="15" customHeight="1" x14ac:dyDescent="0.3">
      <c r="A11" s="26" t="s">
        <v>156</v>
      </c>
    </row>
    <row r="12" spans="1:1" ht="15" customHeight="1" x14ac:dyDescent="0.3">
      <c r="A12" s="26" t="s">
        <v>157</v>
      </c>
    </row>
    <row r="13" spans="1:1" x14ac:dyDescent="0.3">
      <c r="A13" s="26"/>
    </row>
    <row r="14" spans="1:1" x14ac:dyDescent="0.3">
      <c r="A14" s="26" t="s">
        <v>158</v>
      </c>
    </row>
    <row r="15" spans="1:1" x14ac:dyDescent="0.3">
      <c r="A15" s="26" t="s">
        <v>159</v>
      </c>
    </row>
    <row r="16" spans="1:1" x14ac:dyDescent="0.3">
      <c r="A16" s="26" t="s">
        <v>160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Student 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Eslam Aboelnaga‎</cp:lastModifiedBy>
  <cp:revision>3</cp:revision>
  <dcterms:created xsi:type="dcterms:W3CDTF">2026-07-16T22:18:25Z</dcterms:created>
  <dcterms:modified xsi:type="dcterms:W3CDTF">2026-07-18T17:04:56Z</dcterms:modified>
  <dc:language>en-US</dc:language>
</cp:coreProperties>
</file>